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309976ba861ca/Work.Coding/Canopy/examples/VR/EasyRead_3_Iterations/"/>
    </mc:Choice>
  </mc:AlternateContent>
  <xr:revisionPtr revIDLastSave="66" documentId="8_{12F61DBE-E5AB-450A-8538-03D7C5BF9CCE}" xr6:coauthVersionLast="47" xr6:coauthVersionMax="47" xr10:uidLastSave="{82F62CC0-4A6B-48F2-9119-5A476D912E6E}"/>
  <bookViews>
    <workbookView xWindow="-110" yWindow="-110" windowWidth="38620" windowHeight="21100" activeTab="1" xr2:uid="{7450E312-AB22-4C16-B6D4-E1F99E9ECED2}"/>
  </bookViews>
  <sheets>
    <sheet name="VR" sheetId="1" r:id="rId1"/>
    <sheet name="Fabr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6" i="2" l="1"/>
  <c r="U27" i="2"/>
  <c r="U26" i="2"/>
  <c r="N56" i="1"/>
  <c r="R31" i="1"/>
  <c r="R30" i="1"/>
  <c r="R29" i="1"/>
  <c r="R32" i="1" s="1"/>
</calcChain>
</file>

<file path=xl/sharedStrings.xml><?xml version="1.0" encoding="utf-8"?>
<sst xmlns="http://schemas.openxmlformats.org/spreadsheetml/2006/main" count="273" uniqueCount="147">
  <si>
    <t>Homo_sapiens</t>
  </si>
  <si>
    <t>Pan_troglodytes</t>
  </si>
  <si>
    <t>Gorilla_gorilla</t>
  </si>
  <si>
    <t>Pongo_abelii</t>
  </si>
  <si>
    <t>Hylobates_lar</t>
  </si>
  <si>
    <t>Macaca_mulatta</t>
  </si>
  <si>
    <t>Papio_anubis</t>
  </si>
  <si>
    <t>Colobus_guereza</t>
  </si>
  <si>
    <t>Nasalis_larvatus</t>
  </si>
  <si>
    <t>It</t>
  </si>
  <si>
    <t>Lh</t>
  </si>
  <si>
    <t>Lh + Prior</t>
  </si>
  <si>
    <t>No Pram</t>
  </si>
  <si>
    <t>Alpha</t>
  </si>
  <si>
    <t>Sigma^2</t>
  </si>
  <si>
    <t>Alpha Scale Prior</t>
  </si>
  <si>
    <t>Node ID</t>
  </si>
  <si>
    <t>Scaler</t>
  </si>
  <si>
    <t>Creat It</t>
  </si>
  <si>
    <t>Node / Branch</t>
  </si>
  <si>
    <t>Branch</t>
  </si>
  <si>
    <t>Node</t>
  </si>
  <si>
    <t>No Taxa</t>
  </si>
  <si>
    <t>Original BL</t>
  </si>
  <si>
    <t>No different from original</t>
  </si>
  <si>
    <t>Pct time scaled</t>
  </si>
  <si>
    <t>Mean Scalar</t>
  </si>
  <si>
    <t>Mode Scalar</t>
  </si>
  <si>
    <t>Median Scalar</t>
  </si>
  <si>
    <t>SD Scalar</t>
  </si>
  <si>
    <t>Mean SigV</t>
  </si>
  <si>
    <t>Mode SigV</t>
  </si>
  <si>
    <t>Median SigV</t>
  </si>
  <si>
    <t>SD SigV</t>
  </si>
  <si>
    <t>Mean DeltaB</t>
  </si>
  <si>
    <t>Mode DeltaB</t>
  </si>
  <si>
    <t>Median DeltaB</t>
  </si>
  <si>
    <t>SD DeltaB</t>
  </si>
  <si>
    <t>Mean DeltaV</t>
  </si>
  <si>
    <t>Mode DeltaV</t>
  </si>
  <si>
    <t>Median DeltaV</t>
  </si>
  <si>
    <t>SD DeltaV</t>
  </si>
  <si>
    <t>Taxa List</t>
  </si>
  <si>
    <t>Colobus_guereza,Gorilla_gorilla,Homo_sapiens,Hylobates_lar,Macaca_mulatta,Nasalis_larvatus,Pan_troglodytes,Papio_anubis,Pongo_abelii</t>
  </si>
  <si>
    <t>Gorilla_gorilla,Homo_sapiens,Hylobates_lar,Pan_troglodytes,Pongo_abelii</t>
  </si>
  <si>
    <t>Gorilla_gorilla,Homo_sapiens,Pan_troglodytes,Pongo_abelii</t>
  </si>
  <si>
    <t>Gorilla_gorilla,Homo_sapiens,Pan_troglodytes</t>
  </si>
  <si>
    <t>Homo_sapiens,Pan_troglodytes</t>
  </si>
  <si>
    <t>Colobus_guereza,Macaca_mulatta,Nasalis_larvatus,Papio_anubis</t>
  </si>
  <si>
    <t>Macaca_mulatta,Papio_anubis</t>
  </si>
  <si>
    <t>Colobus_guereza,Nasalis_larvatus</t>
  </si>
  <si>
    <t>label</t>
  </si>
  <si>
    <t>root_distance</t>
  </si>
  <si>
    <t>nodes_to_root</t>
  </si>
  <si>
    <t>height</t>
  </si>
  <si>
    <t>height_95%_HPD</t>
  </si>
  <si>
    <t>height_median</t>
  </si>
  <si>
    <t>length_95%_HPD</t>
  </si>
  <si>
    <t>[0, 0]</t>
  </si>
  <si>
    <t>[27.944, 307.015]</t>
  </si>
  <si>
    <t>[0, 130.302]</t>
  </si>
  <si>
    <t>[27.944, 176.712]</t>
  </si>
  <si>
    <t>[36.395, 230.156]</t>
  </si>
  <si>
    <t>[0.002, 130.313]</t>
  </si>
  <si>
    <t>[15.911, 426.525]</t>
  </si>
  <si>
    <t>[70.794, 640.329]</t>
  </si>
  <si>
    <t>[19.762, 19.762]</t>
  </si>
  <si>
    <t>[70.794, 640.328]</t>
  </si>
  <si>
    <t>[10.273, 10.273]</t>
  </si>
  <si>
    <t>[11.46, 11.46]</t>
  </si>
  <si>
    <t>Branch length in consensus of output trees</t>
  </si>
  <si>
    <t>Original branch length</t>
  </si>
  <si>
    <t>Scalar</t>
  </si>
  <si>
    <t>Mutliple scalars that affect the same branch'</t>
  </si>
  <si>
    <t>Posterior Scaling</t>
  </si>
  <si>
    <t>LS_Beta</t>
  </si>
  <si>
    <t>ID</t>
  </si>
  <si>
    <t>Branch Length</t>
  </si>
  <si>
    <t>Height</t>
  </si>
  <si>
    <t>Height Mid-Point</t>
  </si>
  <si>
    <t>Sum BL</t>
  </si>
  <si>
    <t>No Descendants</t>
  </si>
  <si>
    <t>No Concurrent Linages Start</t>
  </si>
  <si>
    <t>No Concurrent Linages Mid-point</t>
  </si>
  <si>
    <t>No Concurrent Linages End</t>
  </si>
  <si>
    <t>Mean (Beta * BL)</t>
  </si>
  <si>
    <t>SD (Beta * BL)</t>
  </si>
  <si>
    <t>Mean (Beta * BL) NZ</t>
  </si>
  <si>
    <t>SD (Beta * BL) NZ</t>
  </si>
  <si>
    <t>Sample Size</t>
  </si>
  <si>
    <t>ESS</t>
  </si>
  <si>
    <t>P &lt; 0</t>
  </si>
  <si>
    <t>P == 0</t>
  </si>
  <si>
    <t>P &gt; 0</t>
  </si>
  <si>
    <t>P (Beta * BL)</t>
  </si>
  <si>
    <t>Observed P (Beta * BL)</t>
  </si>
  <si>
    <t>SD Observed P(Beta * BL)</t>
  </si>
  <si>
    <t>Z (Beta * BL)</t>
  </si>
  <si>
    <t>Sig (Beta * BL)</t>
  </si>
  <si>
    <t>Mean Non 1 Scalar</t>
  </si>
  <si>
    <t>Median Non 1</t>
  </si>
  <si>
    <t>SD Non 1 Scalar</t>
  </si>
  <si>
    <t>P &lt; 1</t>
  </si>
  <si>
    <t>P == 1</t>
  </si>
  <si>
    <t>P &gt; 1</t>
  </si>
  <si>
    <t>P Scalar</t>
  </si>
  <si>
    <t>Observed P Scalar</t>
  </si>
  <si>
    <t>SD Observed P Scalar</t>
  </si>
  <si>
    <t>Z Scalar</t>
  </si>
  <si>
    <t>Sig Scalar</t>
  </si>
  <si>
    <t>Prop beta followed by a variance scalar</t>
  </si>
  <si>
    <t>No Beta or Node</t>
  </si>
  <si>
    <t xml:space="preserve">Prop Variance scalar followed by a beta </t>
  </si>
  <si>
    <t>Prop Beta on Dec Nodes</t>
  </si>
  <si>
    <t>Beta Scalar Trade off</t>
  </si>
  <si>
    <t>Md5 Sum</t>
  </si>
  <si>
    <t>Taxa-1</t>
  </si>
  <si>
    <t>Taxa-2</t>
  </si>
  <si>
    <t>Taxa-3</t>
  </si>
  <si>
    <t>Taxa-4</t>
  </si>
  <si>
    <t>Taxa-5</t>
  </si>
  <si>
    <t>Taxa-6</t>
  </si>
  <si>
    <t>Taxa-7</t>
  </si>
  <si>
    <t>Taxa-8</t>
  </si>
  <si>
    <t>Taxa-9</t>
  </si>
  <si>
    <t>No Change</t>
  </si>
  <si>
    <t>4b60a4c5bc99324cd61746613b878a7d</t>
  </si>
  <si>
    <t>inf</t>
  </si>
  <si>
    <t>a039099b78f2caccbb2b64bd4b405019</t>
  </si>
  <si>
    <t>0d27545c088ab78c0acfd9159cc63dbc</t>
  </si>
  <si>
    <t>410c97e49ca636b9ef306c5aa84ce806</t>
  </si>
  <si>
    <t>19bddac4e2350ad352303b3e48c1102e</t>
  </si>
  <si>
    <t>db547fc3206b0f8a71b628ef191e9f95</t>
  </si>
  <si>
    <t>a75a2e02ceeb9bf4d5322fa78e05e452</t>
  </si>
  <si>
    <t>40bfdea5393de840c0719a193355cc9d</t>
  </si>
  <si>
    <t>a4ef54b64e415c6676ec4c25a78bd82f</t>
  </si>
  <si>
    <t>5f07acc8dee348567e92248266344592</t>
  </si>
  <si>
    <t>476b2223a2862d8ddce614beb2b1b07c</t>
  </si>
  <si>
    <t>929ae6cc0542890d877a700ebb888c2c</t>
  </si>
  <si>
    <t>8cfc1703a4a333f7c08c00334dd88975</t>
  </si>
  <si>
    <t>4fa854ade7cb60faa6c9038a0815bf4a</t>
  </si>
  <si>
    <t>1be4d3832ce37242a33568fcd121e914</t>
  </si>
  <si>
    <t>ced5819055f8f377bc9cf6eb5d2936dd</t>
  </si>
  <si>
    <t>a69e8ee2ce695e1f9975db911c3edfed</t>
  </si>
  <si>
    <t>Node Scalar %</t>
  </si>
  <si>
    <t>Beta Scalar %</t>
  </si>
  <si>
    <t>Median (Beta * 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</si>
</sst>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0B35-E4FD-4BB9-9095-F85826073A38}">
  <dimension ref="A1:Z77"/>
  <sheetViews>
    <sheetView topLeftCell="A28" workbookViewId="0">
      <selection activeCell="A44" sqref="A44:XFD44"/>
    </sheetView>
  </sheetViews>
  <sheetFormatPr defaultRowHeight="14.5" x14ac:dyDescent="0.35"/>
  <cols>
    <col min="20" max="20" width="12.90625" customWidth="1"/>
    <col min="21" max="21" width="13.6328125" customWidth="1"/>
  </cols>
  <sheetData>
    <row r="1" spans="1:26" x14ac:dyDescent="0.35">
      <c r="A1">
        <v>9</v>
      </c>
    </row>
    <row r="2" spans="1:26" x14ac:dyDescent="0.35">
      <c r="A2">
        <v>0</v>
      </c>
      <c r="B2" t="s">
        <v>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</row>
    <row r="3" spans="1:26" x14ac:dyDescent="0.35">
      <c r="A3">
        <v>1</v>
      </c>
      <c r="B3" t="s">
        <v>1</v>
      </c>
      <c r="T3" t="s">
        <v>0</v>
      </c>
      <c r="U3">
        <v>295.37900000000002</v>
      </c>
      <c r="V3">
        <v>5</v>
      </c>
      <c r="W3">
        <v>0</v>
      </c>
      <c r="X3" t="s">
        <v>58</v>
      </c>
      <c r="Y3">
        <v>0</v>
      </c>
      <c r="Z3" t="s">
        <v>59</v>
      </c>
    </row>
    <row r="4" spans="1:26" x14ac:dyDescent="0.35">
      <c r="A4">
        <v>2</v>
      </c>
      <c r="B4" t="s">
        <v>2</v>
      </c>
      <c r="T4" t="s">
        <v>1</v>
      </c>
      <c r="U4">
        <v>251.94399999999999</v>
      </c>
      <c r="V4">
        <v>5</v>
      </c>
      <c r="W4">
        <v>43.433999999999997</v>
      </c>
      <c r="X4" t="s">
        <v>60</v>
      </c>
      <c r="Y4">
        <v>0</v>
      </c>
      <c r="Z4" t="s">
        <v>61</v>
      </c>
    </row>
    <row r="5" spans="1:26" x14ac:dyDescent="0.35">
      <c r="A5">
        <v>3</v>
      </c>
      <c r="B5" t="s">
        <v>3</v>
      </c>
      <c r="T5" t="s">
        <v>2</v>
      </c>
      <c r="U5">
        <v>251.94399999999999</v>
      </c>
      <c r="V5">
        <v>4</v>
      </c>
      <c r="W5">
        <v>43.433999999999997</v>
      </c>
      <c r="X5" t="s">
        <v>60</v>
      </c>
      <c r="Y5">
        <v>0</v>
      </c>
      <c r="Z5" t="s">
        <v>62</v>
      </c>
    </row>
    <row r="6" spans="1:26" x14ac:dyDescent="0.35">
      <c r="A6">
        <v>4</v>
      </c>
      <c r="B6" t="s">
        <v>4</v>
      </c>
      <c r="T6" t="s">
        <v>3</v>
      </c>
      <c r="U6">
        <v>223.56</v>
      </c>
      <c r="V6">
        <v>3</v>
      </c>
      <c r="W6">
        <v>71.817999999999998</v>
      </c>
      <c r="X6" t="s">
        <v>63</v>
      </c>
      <c r="Y6">
        <v>85.141000000000005</v>
      </c>
      <c r="Z6" t="s">
        <v>64</v>
      </c>
    </row>
    <row r="7" spans="1:26" x14ac:dyDescent="0.35">
      <c r="A7">
        <v>5</v>
      </c>
      <c r="B7" t="s">
        <v>5</v>
      </c>
      <c r="T7" t="s">
        <v>4</v>
      </c>
      <c r="U7">
        <v>29.957000000000001</v>
      </c>
      <c r="V7">
        <v>2</v>
      </c>
      <c r="W7">
        <v>265.42099999999999</v>
      </c>
      <c r="X7" t="s">
        <v>65</v>
      </c>
      <c r="Y7">
        <v>85.14</v>
      </c>
      <c r="Z7" t="s">
        <v>66</v>
      </c>
    </row>
    <row r="8" spans="1:26" x14ac:dyDescent="0.35">
      <c r="A8">
        <v>6</v>
      </c>
      <c r="B8" t="s">
        <v>6</v>
      </c>
      <c r="T8" t="s">
        <v>5</v>
      </c>
      <c r="U8">
        <v>29.957999999999998</v>
      </c>
      <c r="V8">
        <v>3</v>
      </c>
      <c r="W8">
        <v>265.42099999999999</v>
      </c>
      <c r="X8" t="s">
        <v>67</v>
      </c>
      <c r="Y8">
        <v>85.14</v>
      </c>
      <c r="Z8" t="s">
        <v>68</v>
      </c>
    </row>
    <row r="9" spans="1:26" x14ac:dyDescent="0.35">
      <c r="A9">
        <v>7</v>
      </c>
      <c r="B9" t="s">
        <v>7</v>
      </c>
      <c r="T9" t="s">
        <v>6</v>
      </c>
      <c r="U9">
        <v>29.957999999999998</v>
      </c>
      <c r="V9">
        <v>3</v>
      </c>
      <c r="W9">
        <v>265.42099999999999</v>
      </c>
      <c r="X9" t="s">
        <v>67</v>
      </c>
      <c r="Y9">
        <v>85.14</v>
      </c>
      <c r="Z9" t="s">
        <v>68</v>
      </c>
    </row>
    <row r="10" spans="1:26" x14ac:dyDescent="0.35">
      <c r="A10">
        <v>8</v>
      </c>
      <c r="B10" t="s">
        <v>8</v>
      </c>
      <c r="T10" t="s">
        <v>7</v>
      </c>
      <c r="U10">
        <v>29.957999999999998</v>
      </c>
      <c r="V10">
        <v>3</v>
      </c>
      <c r="W10">
        <v>265.42099999999999</v>
      </c>
      <c r="X10" t="s">
        <v>67</v>
      </c>
      <c r="Y10">
        <v>85.14</v>
      </c>
      <c r="Z10" t="s">
        <v>69</v>
      </c>
    </row>
    <row r="11" spans="1:26" x14ac:dyDescent="0.35">
      <c r="A11">
        <v>17</v>
      </c>
      <c r="T11" t="s">
        <v>8</v>
      </c>
      <c r="U11">
        <v>29.957999999999998</v>
      </c>
      <c r="V11">
        <v>3</v>
      </c>
      <c r="W11">
        <v>265.42099999999999</v>
      </c>
      <c r="X11" t="s">
        <v>67</v>
      </c>
      <c r="Y11">
        <v>85.14</v>
      </c>
      <c r="Z11" t="s">
        <v>69</v>
      </c>
    </row>
    <row r="12" spans="1:26" x14ac:dyDescent="0.35">
      <c r="A12">
        <v>0</v>
      </c>
      <c r="B12">
        <v>-1</v>
      </c>
      <c r="C12">
        <v>9</v>
      </c>
      <c r="D12">
        <v>0</v>
      </c>
      <c r="E12">
        <v>1</v>
      </c>
      <c r="F12">
        <v>2</v>
      </c>
      <c r="G12">
        <v>3</v>
      </c>
      <c r="H12">
        <v>4</v>
      </c>
      <c r="I12">
        <v>5</v>
      </c>
      <c r="J12">
        <v>6</v>
      </c>
      <c r="K12">
        <v>7</v>
      </c>
      <c r="L12">
        <v>8</v>
      </c>
    </row>
    <row r="13" spans="1:26" x14ac:dyDescent="0.35">
      <c r="A13">
        <v>1</v>
      </c>
      <c r="B13">
        <v>10.195</v>
      </c>
      <c r="C13">
        <v>5</v>
      </c>
      <c r="D13">
        <v>0</v>
      </c>
      <c r="E13">
        <v>1</v>
      </c>
      <c r="F13">
        <v>2</v>
      </c>
      <c r="G13">
        <v>3</v>
      </c>
      <c r="H13">
        <v>4</v>
      </c>
    </row>
    <row r="14" spans="1:26" x14ac:dyDescent="0.35">
      <c r="A14">
        <v>2</v>
      </c>
      <c r="B14">
        <v>3.8515999999999999</v>
      </c>
      <c r="C14">
        <v>4</v>
      </c>
      <c r="D14">
        <v>0</v>
      </c>
      <c r="E14">
        <v>1</v>
      </c>
      <c r="F14">
        <v>2</v>
      </c>
      <c r="G14">
        <v>3</v>
      </c>
    </row>
    <row r="15" spans="1:26" x14ac:dyDescent="0.35">
      <c r="A15">
        <v>3</v>
      </c>
      <c r="B15">
        <v>7.3254999999999999</v>
      </c>
      <c r="C15">
        <v>3</v>
      </c>
      <c r="D15">
        <v>0</v>
      </c>
      <c r="E15">
        <v>1</v>
      </c>
      <c r="F15">
        <v>2</v>
      </c>
    </row>
    <row r="16" spans="1:26" x14ac:dyDescent="0.35">
      <c r="A16">
        <v>4</v>
      </c>
      <c r="B16">
        <v>1.993571</v>
      </c>
      <c r="C16">
        <v>2</v>
      </c>
      <c r="D16">
        <v>0</v>
      </c>
      <c r="E16">
        <v>1</v>
      </c>
    </row>
    <row r="17" spans="1:19" x14ac:dyDescent="0.35">
      <c r="A17">
        <v>5</v>
      </c>
      <c r="B17">
        <v>6.5918289999999997</v>
      </c>
      <c r="C17">
        <v>1</v>
      </c>
      <c r="D17">
        <v>0</v>
      </c>
    </row>
    <row r="18" spans="1:19" x14ac:dyDescent="0.35">
      <c r="A18">
        <v>6</v>
      </c>
      <c r="B18">
        <v>6.5918289999999997</v>
      </c>
      <c r="C18">
        <v>1</v>
      </c>
      <c r="D18">
        <v>1</v>
      </c>
    </row>
    <row r="19" spans="1:19" x14ac:dyDescent="0.35">
      <c r="A19">
        <v>7</v>
      </c>
      <c r="B19">
        <v>8.5853999999999999</v>
      </c>
      <c r="C19">
        <v>1</v>
      </c>
      <c r="D19">
        <v>2</v>
      </c>
    </row>
    <row r="20" spans="1:19" x14ac:dyDescent="0.35">
      <c r="A20">
        <v>8</v>
      </c>
      <c r="B20">
        <v>15.910500000000001</v>
      </c>
      <c r="C20">
        <v>1</v>
      </c>
      <c r="D20">
        <v>3</v>
      </c>
    </row>
    <row r="21" spans="1:19" x14ac:dyDescent="0.35">
      <c r="A21">
        <v>9</v>
      </c>
      <c r="B21">
        <v>19.762499999999999</v>
      </c>
      <c r="C21">
        <v>1</v>
      </c>
      <c r="D21">
        <v>4</v>
      </c>
    </row>
    <row r="22" spans="1:19" x14ac:dyDescent="0.35">
      <c r="A22">
        <v>10</v>
      </c>
      <c r="B22">
        <v>10.898300000000001</v>
      </c>
      <c r="C22">
        <v>4</v>
      </c>
      <c r="D22">
        <v>5</v>
      </c>
      <c r="E22">
        <v>6</v>
      </c>
      <c r="F22">
        <v>7</v>
      </c>
      <c r="G22">
        <v>8</v>
      </c>
    </row>
    <row r="23" spans="1:19" x14ac:dyDescent="0.35">
      <c r="A23">
        <v>11</v>
      </c>
      <c r="B23">
        <v>8.7863559999999996</v>
      </c>
      <c r="C23">
        <v>2</v>
      </c>
      <c r="D23">
        <v>5</v>
      </c>
      <c r="E23">
        <v>6</v>
      </c>
    </row>
    <row r="24" spans="1:19" x14ac:dyDescent="0.35">
      <c r="A24">
        <v>12</v>
      </c>
      <c r="B24">
        <v>10.273344</v>
      </c>
      <c r="C24">
        <v>1</v>
      </c>
      <c r="D24">
        <v>5</v>
      </c>
    </row>
    <row r="25" spans="1:19" x14ac:dyDescent="0.35">
      <c r="A25">
        <v>13</v>
      </c>
      <c r="B25">
        <v>10.273344</v>
      </c>
      <c r="C25">
        <v>1</v>
      </c>
      <c r="D25">
        <v>6</v>
      </c>
    </row>
    <row r="26" spans="1:19" x14ac:dyDescent="0.35">
      <c r="A26">
        <v>14</v>
      </c>
      <c r="B26">
        <v>7.5994669999999998</v>
      </c>
      <c r="C26">
        <v>2</v>
      </c>
      <c r="D26">
        <v>7</v>
      </c>
      <c r="E26">
        <v>8</v>
      </c>
    </row>
    <row r="27" spans="1:19" x14ac:dyDescent="0.35">
      <c r="A27">
        <v>15</v>
      </c>
      <c r="B27">
        <v>11.460032999999999</v>
      </c>
      <c r="C27">
        <v>1</v>
      </c>
      <c r="D27">
        <v>7</v>
      </c>
    </row>
    <row r="28" spans="1:19" x14ac:dyDescent="0.35">
      <c r="A28">
        <v>16</v>
      </c>
      <c r="B28">
        <v>11.460032999999999</v>
      </c>
      <c r="C28">
        <v>1</v>
      </c>
      <c r="D28">
        <v>8</v>
      </c>
    </row>
    <row r="29" spans="1:19" x14ac:dyDescent="0.35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  <c r="K29" t="s">
        <v>19</v>
      </c>
      <c r="R29">
        <f>I30</f>
        <v>4.239166</v>
      </c>
    </row>
    <row r="30" spans="1:19" x14ac:dyDescent="0.35">
      <c r="A30">
        <v>10000</v>
      </c>
      <c r="B30">
        <v>-43.720198000000003</v>
      </c>
      <c r="C30">
        <v>-58.088138999999998</v>
      </c>
      <c r="D30">
        <v>2</v>
      </c>
      <c r="E30">
        <v>2.4370319999999999</v>
      </c>
      <c r="F30">
        <v>42.512694000000003</v>
      </c>
      <c r="G30">
        <v>1.2</v>
      </c>
      <c r="H30" s="4">
        <v>2</v>
      </c>
      <c r="I30" s="4">
        <v>4.239166</v>
      </c>
      <c r="J30" s="4">
        <v>9874</v>
      </c>
      <c r="K30" s="4" t="s">
        <v>21</v>
      </c>
      <c r="L30" s="6">
        <v>2</v>
      </c>
      <c r="M30" s="6">
        <v>1.415276</v>
      </c>
      <c r="N30" s="6">
        <v>9902</v>
      </c>
      <c r="O30" s="6" t="s">
        <v>20</v>
      </c>
      <c r="R30">
        <f>I31</f>
        <v>6.351064</v>
      </c>
    </row>
    <row r="31" spans="1:19" x14ac:dyDescent="0.35">
      <c r="A31">
        <v>11000</v>
      </c>
      <c r="B31">
        <v>-42.969946</v>
      </c>
      <c r="C31">
        <v>-55.619872999999998</v>
      </c>
      <c r="D31">
        <v>1</v>
      </c>
      <c r="E31">
        <v>30.747734999999999</v>
      </c>
      <c r="F31">
        <v>13.708323</v>
      </c>
      <c r="G31">
        <v>1.2</v>
      </c>
      <c r="H31" s="1">
        <v>3</v>
      </c>
      <c r="I31" s="1">
        <v>6.351064</v>
      </c>
      <c r="J31" s="1">
        <v>10895</v>
      </c>
      <c r="K31" s="1" t="s">
        <v>21</v>
      </c>
      <c r="R31">
        <f>I32*M32</f>
        <v>46.575009405557999</v>
      </c>
      <c r="S31" t="s">
        <v>73</v>
      </c>
    </row>
    <row r="32" spans="1:19" x14ac:dyDescent="0.35">
      <c r="A32">
        <v>12000</v>
      </c>
      <c r="B32">
        <v>-44.512827999999999</v>
      </c>
      <c r="C32">
        <v>-63.049036000000001</v>
      </c>
      <c r="D32">
        <v>2</v>
      </c>
      <c r="E32">
        <v>-15.42755</v>
      </c>
      <c r="F32">
        <v>20.768135999999998</v>
      </c>
      <c r="G32">
        <v>1.2</v>
      </c>
      <c r="H32" s="2">
        <v>2</v>
      </c>
      <c r="I32" s="2">
        <v>26.807782</v>
      </c>
      <c r="J32" s="2">
        <v>11804</v>
      </c>
      <c r="K32" s="2" t="s">
        <v>21</v>
      </c>
      <c r="L32" s="6">
        <v>5</v>
      </c>
      <c r="M32" s="6">
        <v>1.7373689999999999</v>
      </c>
      <c r="N32" s="6">
        <v>11992</v>
      </c>
      <c r="O32" s="6" t="s">
        <v>20</v>
      </c>
      <c r="R32" s="5">
        <f>AVERAGE(R29:R31)</f>
        <v>19.055079801852667</v>
      </c>
    </row>
    <row r="35" spans="1:22" x14ac:dyDescent="0.35">
      <c r="A35" t="s">
        <v>16</v>
      </c>
      <c r="B35" t="s">
        <v>22</v>
      </c>
      <c r="C35" t="s">
        <v>23</v>
      </c>
      <c r="D35" t="s">
        <v>24</v>
      </c>
      <c r="E35" t="s">
        <v>25</v>
      </c>
      <c r="F35" s="3" t="s">
        <v>26</v>
      </c>
      <c r="G35" t="s">
        <v>27</v>
      </c>
      <c r="H35" t="s">
        <v>28</v>
      </c>
      <c r="I35" t="s">
        <v>29</v>
      </c>
      <c r="J35" t="s">
        <v>30</v>
      </c>
      <c r="K35" t="s">
        <v>31</v>
      </c>
      <c r="L35" t="s">
        <v>32</v>
      </c>
      <c r="M35" t="s">
        <v>33</v>
      </c>
      <c r="N35" t="s">
        <v>34</v>
      </c>
      <c r="O35" t="s">
        <v>35</v>
      </c>
      <c r="P35" t="s">
        <v>36</v>
      </c>
      <c r="Q35" t="s">
        <v>37</v>
      </c>
      <c r="R35" t="s">
        <v>38</v>
      </c>
      <c r="S35" t="s">
        <v>39</v>
      </c>
      <c r="T35" t="s">
        <v>40</v>
      </c>
      <c r="U35" t="s">
        <v>41</v>
      </c>
      <c r="V35" t="s">
        <v>42</v>
      </c>
    </row>
    <row r="36" spans="1:22" x14ac:dyDescent="0.35">
      <c r="A36">
        <v>0</v>
      </c>
      <c r="B36">
        <v>9</v>
      </c>
      <c r="C36">
        <v>0</v>
      </c>
      <c r="D36">
        <v>0</v>
      </c>
      <c r="E36">
        <v>0</v>
      </c>
      <c r="F36" s="3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s">
        <v>43</v>
      </c>
    </row>
    <row r="37" spans="1:22" x14ac:dyDescent="0.35">
      <c r="A37">
        <v>1</v>
      </c>
      <c r="B37">
        <v>5</v>
      </c>
      <c r="C37">
        <v>10.195</v>
      </c>
      <c r="D37">
        <v>0</v>
      </c>
      <c r="E37">
        <v>0</v>
      </c>
      <c r="F37" s="3">
        <v>1</v>
      </c>
      <c r="G37">
        <v>1</v>
      </c>
      <c r="H37">
        <v>1</v>
      </c>
      <c r="I37">
        <v>0</v>
      </c>
      <c r="J37">
        <v>25.663050999999999</v>
      </c>
      <c r="K37">
        <v>18.440538</v>
      </c>
      <c r="L37">
        <v>20.768135999999998</v>
      </c>
      <c r="M37">
        <v>15.013097</v>
      </c>
      <c r="N37">
        <v>261.63480499999997</v>
      </c>
      <c r="O37">
        <v>188.001282</v>
      </c>
      <c r="P37">
        <v>211.73114699999999</v>
      </c>
      <c r="Q37">
        <v>153.058527</v>
      </c>
      <c r="R37">
        <v>261.63480499999997</v>
      </c>
      <c r="S37">
        <v>188.001282</v>
      </c>
      <c r="T37">
        <v>211.73114699999999</v>
      </c>
      <c r="U37">
        <v>153.058527</v>
      </c>
      <c r="V37" t="s">
        <v>44</v>
      </c>
    </row>
    <row r="38" spans="1:22" x14ac:dyDescent="0.35">
      <c r="A38">
        <v>2</v>
      </c>
      <c r="B38">
        <v>4</v>
      </c>
      <c r="C38">
        <v>3.8515999999999999</v>
      </c>
      <c r="D38">
        <v>2</v>
      </c>
      <c r="E38">
        <v>66.666667000000004</v>
      </c>
      <c r="F38" s="3">
        <v>11.269124</v>
      </c>
      <c r="G38">
        <v>4.4535030000000004</v>
      </c>
      <c r="H38">
        <v>5.9995900000000004</v>
      </c>
      <c r="I38">
        <v>13.687089</v>
      </c>
      <c r="J38">
        <v>275.17157200000003</v>
      </c>
      <c r="K38">
        <v>205.995598</v>
      </c>
      <c r="L38">
        <v>255.05873</v>
      </c>
      <c r="M38">
        <v>272.07779399999998</v>
      </c>
      <c r="N38">
        <v>98.843806999999998</v>
      </c>
      <c r="O38">
        <v>71.025575000000003</v>
      </c>
      <c r="P38">
        <v>79.990553000000006</v>
      </c>
      <c r="Q38">
        <v>57.824446000000002</v>
      </c>
      <c r="R38">
        <v>1059.850825</v>
      </c>
      <c r="S38">
        <v>793.412645</v>
      </c>
      <c r="T38">
        <v>982.38420299999996</v>
      </c>
      <c r="U38">
        <v>1047.9348299999999</v>
      </c>
      <c r="V38" t="s">
        <v>45</v>
      </c>
    </row>
    <row r="39" spans="1:22" x14ac:dyDescent="0.35">
      <c r="A39">
        <v>3</v>
      </c>
      <c r="B39">
        <v>3</v>
      </c>
      <c r="C39">
        <v>7.3254999999999999</v>
      </c>
      <c r="D39">
        <v>3</v>
      </c>
      <c r="E39">
        <v>100</v>
      </c>
      <c r="F39" s="3">
        <v>12.466004</v>
      </c>
      <c r="G39">
        <v>6.0247510000000002</v>
      </c>
      <c r="H39">
        <v>6.351064</v>
      </c>
      <c r="I39">
        <v>12.46515</v>
      </c>
      <c r="J39">
        <v>274.67615499999999</v>
      </c>
      <c r="K39">
        <v>151.66099299999999</v>
      </c>
      <c r="L39">
        <v>180.218367</v>
      </c>
      <c r="M39">
        <v>248.682042</v>
      </c>
      <c r="N39">
        <v>187.99467999999999</v>
      </c>
      <c r="O39">
        <v>135.08615900000001</v>
      </c>
      <c r="P39">
        <v>152.13697999999999</v>
      </c>
      <c r="Q39">
        <v>109.97844499999999</v>
      </c>
      <c r="R39">
        <v>2012.1401760000001</v>
      </c>
      <c r="S39">
        <v>1110.9926009999999</v>
      </c>
      <c r="T39">
        <v>1320.1896469999999</v>
      </c>
      <c r="U39">
        <v>1821.7203010000001</v>
      </c>
      <c r="V39" t="s">
        <v>46</v>
      </c>
    </row>
    <row r="40" spans="1:22" x14ac:dyDescent="0.35">
      <c r="A40">
        <v>4</v>
      </c>
      <c r="B40">
        <v>2</v>
      </c>
      <c r="C40">
        <v>1.993571</v>
      </c>
      <c r="D40">
        <v>3</v>
      </c>
      <c r="E40">
        <v>100</v>
      </c>
      <c r="F40" s="3">
        <v>12.466004</v>
      </c>
      <c r="G40">
        <v>6.0247510000000002</v>
      </c>
      <c r="H40">
        <v>6.351064</v>
      </c>
      <c r="I40">
        <v>12.46515</v>
      </c>
      <c r="J40">
        <v>274.67615499999999</v>
      </c>
      <c r="K40">
        <v>151.66099299999999</v>
      </c>
      <c r="L40">
        <v>180.218367</v>
      </c>
      <c r="M40">
        <v>248.682042</v>
      </c>
      <c r="N40">
        <v>51.161113999999998</v>
      </c>
      <c r="O40">
        <v>36.762521</v>
      </c>
      <c r="P40">
        <v>41.402754000000002</v>
      </c>
      <c r="Q40">
        <v>29.929675</v>
      </c>
      <c r="R40">
        <v>547.58641799999998</v>
      </c>
      <c r="S40">
        <v>302.34695699999997</v>
      </c>
      <c r="T40">
        <v>359.27811000000003</v>
      </c>
      <c r="U40">
        <v>495.765308</v>
      </c>
      <c r="V40" t="s">
        <v>47</v>
      </c>
    </row>
    <row r="41" spans="1:22" s="3" customFormat="1" x14ac:dyDescent="0.35">
      <c r="A41" s="3">
        <v>5</v>
      </c>
      <c r="B41" s="3">
        <v>1</v>
      </c>
      <c r="C41" s="3">
        <v>6.5918289999999997</v>
      </c>
      <c r="D41" s="3">
        <v>3</v>
      </c>
      <c r="E41" s="3">
        <v>100</v>
      </c>
      <c r="F41" s="1">
        <v>19.05508</v>
      </c>
      <c r="G41" s="3">
        <v>6.6055429999999999</v>
      </c>
      <c r="H41" s="3">
        <v>6.351064</v>
      </c>
      <c r="I41" s="3">
        <v>23.856338999999998</v>
      </c>
      <c r="J41" s="3">
        <v>411.518978</v>
      </c>
      <c r="K41" s="3">
        <v>164.060529</v>
      </c>
      <c r="L41" s="3">
        <v>180.218367</v>
      </c>
      <c r="M41" s="3">
        <v>483.548359</v>
      </c>
      <c r="N41" s="3">
        <v>169.16644400000001</v>
      </c>
      <c r="O41" s="3">
        <v>121.556871</v>
      </c>
      <c r="P41" s="3">
        <v>136.900001</v>
      </c>
      <c r="Q41" s="3">
        <v>98.963769999999997</v>
      </c>
      <c r="R41" s="3">
        <v>2712.6627319999998</v>
      </c>
      <c r="S41" s="3">
        <v>1081.458952</v>
      </c>
      <c r="T41" s="3">
        <v>1187.968658</v>
      </c>
      <c r="U41" s="3">
        <v>3187.4680969999999</v>
      </c>
      <c r="V41" s="3" t="s">
        <v>0</v>
      </c>
    </row>
    <row r="42" spans="1:22" x14ac:dyDescent="0.35">
      <c r="A42">
        <v>6</v>
      </c>
      <c r="B42">
        <v>1</v>
      </c>
      <c r="C42">
        <v>6.5918289999999997</v>
      </c>
      <c r="D42">
        <v>3</v>
      </c>
      <c r="E42">
        <v>100</v>
      </c>
      <c r="F42" s="3">
        <v>12.466004</v>
      </c>
      <c r="G42">
        <v>6.0247510000000002</v>
      </c>
      <c r="H42">
        <v>6.351064</v>
      </c>
      <c r="I42">
        <v>12.46515</v>
      </c>
      <c r="J42">
        <v>274.67615499999999</v>
      </c>
      <c r="K42">
        <v>151.66099299999999</v>
      </c>
      <c r="L42">
        <v>180.218367</v>
      </c>
      <c r="M42">
        <v>248.682042</v>
      </c>
      <c r="N42">
        <v>169.16644400000001</v>
      </c>
      <c r="O42">
        <v>121.556871</v>
      </c>
      <c r="P42">
        <v>136.900001</v>
      </c>
      <c r="Q42">
        <v>98.963769999999997</v>
      </c>
      <c r="R42">
        <v>1810.6182470000001</v>
      </c>
      <c r="S42">
        <v>999.72332900000004</v>
      </c>
      <c r="T42">
        <v>1187.968658</v>
      </c>
      <c r="U42">
        <v>1639.2694980000001</v>
      </c>
      <c r="V42" t="s">
        <v>1</v>
      </c>
    </row>
    <row r="43" spans="1:22" x14ac:dyDescent="0.35">
      <c r="A43">
        <v>7</v>
      </c>
      <c r="B43">
        <v>1</v>
      </c>
      <c r="C43">
        <v>8.5853999999999999</v>
      </c>
      <c r="D43">
        <v>3</v>
      </c>
      <c r="E43">
        <v>100</v>
      </c>
      <c r="F43" s="3">
        <v>12.466004</v>
      </c>
      <c r="G43">
        <v>6.0247510000000002</v>
      </c>
      <c r="H43">
        <v>6.351064</v>
      </c>
      <c r="I43">
        <v>12.46515</v>
      </c>
      <c r="J43">
        <v>274.67615499999999</v>
      </c>
      <c r="K43">
        <v>151.66099299999999</v>
      </c>
      <c r="L43">
        <v>180.218367</v>
      </c>
      <c r="M43">
        <v>248.682042</v>
      </c>
      <c r="N43">
        <v>220.32755800000001</v>
      </c>
      <c r="O43">
        <v>158.31939199999999</v>
      </c>
      <c r="P43">
        <v>178.30275499999999</v>
      </c>
      <c r="Q43">
        <v>128.89344600000001</v>
      </c>
      <c r="R43">
        <v>2358.2046639999999</v>
      </c>
      <c r="S43">
        <v>1302.0702859999999</v>
      </c>
      <c r="T43">
        <v>1547.246768</v>
      </c>
      <c r="U43">
        <v>2135.0348060000001</v>
      </c>
      <c r="V43" t="s">
        <v>2</v>
      </c>
    </row>
    <row r="44" spans="1:22" x14ac:dyDescent="0.35">
      <c r="A44">
        <v>8</v>
      </c>
      <c r="B44">
        <v>1</v>
      </c>
      <c r="C44">
        <v>15.910500000000001</v>
      </c>
      <c r="D44">
        <v>2</v>
      </c>
      <c r="E44">
        <v>66.666667000000004</v>
      </c>
      <c r="F44" s="3">
        <v>10.682316</v>
      </c>
      <c r="G44">
        <v>3.49397</v>
      </c>
      <c r="H44">
        <v>4.239166</v>
      </c>
      <c r="I44">
        <v>14.058664</v>
      </c>
      <c r="J44">
        <v>250.224784</v>
      </c>
      <c r="K44">
        <v>126.068251</v>
      </c>
      <c r="L44">
        <v>180.218367</v>
      </c>
      <c r="M44">
        <v>278.20604800000001</v>
      </c>
      <c r="N44">
        <v>408.31197300000002</v>
      </c>
      <c r="O44">
        <v>293.39817499999998</v>
      </c>
      <c r="P44">
        <v>330.43142799999998</v>
      </c>
      <c r="Q44">
        <v>238.86588499999999</v>
      </c>
      <c r="R44">
        <v>3981.2014279999999</v>
      </c>
      <c r="S44">
        <v>2005.808912</v>
      </c>
      <c r="T44">
        <v>2867.3643280000001</v>
      </c>
      <c r="U44">
        <v>4426.3973189999997</v>
      </c>
      <c r="V44" t="s">
        <v>3</v>
      </c>
    </row>
    <row r="45" spans="1:22" x14ac:dyDescent="0.35">
      <c r="A45">
        <v>9</v>
      </c>
      <c r="B45">
        <v>1</v>
      </c>
      <c r="C45">
        <v>19.762499999999999</v>
      </c>
      <c r="D45">
        <v>0</v>
      </c>
      <c r="E45">
        <v>0</v>
      </c>
      <c r="F45" s="3">
        <v>1</v>
      </c>
      <c r="G45">
        <v>1</v>
      </c>
      <c r="H45">
        <v>1</v>
      </c>
      <c r="I45">
        <v>0</v>
      </c>
      <c r="J45">
        <v>25.663050999999999</v>
      </c>
      <c r="K45">
        <v>18.440538</v>
      </c>
      <c r="L45">
        <v>20.768135999999998</v>
      </c>
      <c r="M45">
        <v>15.013097</v>
      </c>
      <c r="N45">
        <v>507.166045</v>
      </c>
      <c r="O45">
        <v>364.43112600000001</v>
      </c>
      <c r="P45">
        <v>410.43028800000002</v>
      </c>
      <c r="Q45">
        <v>296.69633599999997</v>
      </c>
      <c r="R45">
        <v>507.166045</v>
      </c>
      <c r="S45">
        <v>364.43112600000001</v>
      </c>
      <c r="T45">
        <v>410.43028800000002</v>
      </c>
      <c r="U45">
        <v>296.69633599999997</v>
      </c>
      <c r="V45" t="s">
        <v>4</v>
      </c>
    </row>
    <row r="46" spans="1:22" x14ac:dyDescent="0.35">
      <c r="A46">
        <v>10</v>
      </c>
      <c r="B46">
        <v>4</v>
      </c>
      <c r="C46">
        <v>10.898300000000001</v>
      </c>
      <c r="D46">
        <v>0</v>
      </c>
      <c r="E46">
        <v>0</v>
      </c>
      <c r="F46" s="3">
        <v>1</v>
      </c>
      <c r="G46">
        <v>1</v>
      </c>
      <c r="H46">
        <v>1</v>
      </c>
      <c r="I46">
        <v>0</v>
      </c>
      <c r="J46">
        <v>25.663050999999999</v>
      </c>
      <c r="K46">
        <v>18.440538</v>
      </c>
      <c r="L46">
        <v>20.768135999999998</v>
      </c>
      <c r="M46">
        <v>15.013097</v>
      </c>
      <c r="N46">
        <v>279.683629</v>
      </c>
      <c r="O46">
        <v>200.97051200000001</v>
      </c>
      <c r="P46">
        <v>226.337377</v>
      </c>
      <c r="Q46">
        <v>163.61723900000001</v>
      </c>
      <c r="R46">
        <v>279.683629</v>
      </c>
      <c r="S46">
        <v>200.97051200000001</v>
      </c>
      <c r="T46">
        <v>226.337377</v>
      </c>
      <c r="U46">
        <v>163.61723900000001</v>
      </c>
      <c r="V46" t="s">
        <v>48</v>
      </c>
    </row>
    <row r="47" spans="1:22" x14ac:dyDescent="0.35">
      <c r="A47">
        <v>11</v>
      </c>
      <c r="B47">
        <v>2</v>
      </c>
      <c r="C47">
        <v>8.7863559999999996</v>
      </c>
      <c r="D47">
        <v>0</v>
      </c>
      <c r="E47">
        <v>0</v>
      </c>
      <c r="F47" s="3">
        <v>1</v>
      </c>
      <c r="G47">
        <v>1</v>
      </c>
      <c r="H47">
        <v>1</v>
      </c>
      <c r="I47">
        <v>0</v>
      </c>
      <c r="J47">
        <v>25.663050999999999</v>
      </c>
      <c r="K47">
        <v>18.440538</v>
      </c>
      <c r="L47">
        <v>20.768135999999998</v>
      </c>
      <c r="M47">
        <v>15.013097</v>
      </c>
      <c r="N47">
        <v>225.484702</v>
      </c>
      <c r="O47">
        <v>162.02512899999999</v>
      </c>
      <c r="P47">
        <v>182.476236</v>
      </c>
      <c r="Q47">
        <v>131.91041799999999</v>
      </c>
      <c r="R47">
        <v>225.484702</v>
      </c>
      <c r="S47">
        <v>162.02512899999999</v>
      </c>
      <c r="T47">
        <v>182.476236</v>
      </c>
      <c r="U47">
        <v>131.91041799999999</v>
      </c>
      <c r="V47" t="s">
        <v>49</v>
      </c>
    </row>
    <row r="48" spans="1:22" x14ac:dyDescent="0.35">
      <c r="A48">
        <v>12</v>
      </c>
      <c r="B48">
        <v>1</v>
      </c>
      <c r="C48">
        <v>10.273344</v>
      </c>
      <c r="D48">
        <v>0</v>
      </c>
      <c r="E48">
        <v>0</v>
      </c>
      <c r="F48" s="3">
        <v>1</v>
      </c>
      <c r="G48">
        <v>1</v>
      </c>
      <c r="H48">
        <v>1</v>
      </c>
      <c r="I48">
        <v>0</v>
      </c>
      <c r="J48">
        <v>25.663050999999999</v>
      </c>
      <c r="K48">
        <v>18.440538</v>
      </c>
      <c r="L48">
        <v>20.768135999999998</v>
      </c>
      <c r="M48">
        <v>15.013097</v>
      </c>
      <c r="N48">
        <v>263.64535100000001</v>
      </c>
      <c r="O48">
        <v>189.445987</v>
      </c>
      <c r="P48">
        <v>213.358205</v>
      </c>
      <c r="Q48">
        <v>154.234714</v>
      </c>
      <c r="R48">
        <v>263.64535100000001</v>
      </c>
      <c r="S48">
        <v>189.445987</v>
      </c>
      <c r="T48">
        <v>213.358205</v>
      </c>
      <c r="U48">
        <v>154.234714</v>
      </c>
      <c r="V48" t="s">
        <v>5</v>
      </c>
    </row>
    <row r="49" spans="1:22" x14ac:dyDescent="0.35">
      <c r="A49">
        <v>13</v>
      </c>
      <c r="B49">
        <v>1</v>
      </c>
      <c r="C49">
        <v>10.273344</v>
      </c>
      <c r="D49">
        <v>0</v>
      </c>
      <c r="E49">
        <v>0</v>
      </c>
      <c r="F49" s="3">
        <v>1</v>
      </c>
      <c r="G49">
        <v>1</v>
      </c>
      <c r="H49">
        <v>1</v>
      </c>
      <c r="I49">
        <v>0</v>
      </c>
      <c r="J49">
        <v>25.663050999999999</v>
      </c>
      <c r="K49">
        <v>18.440538</v>
      </c>
      <c r="L49">
        <v>20.768135999999998</v>
      </c>
      <c r="M49">
        <v>15.013097</v>
      </c>
      <c r="N49">
        <v>263.64535100000001</v>
      </c>
      <c r="O49">
        <v>189.445987</v>
      </c>
      <c r="P49">
        <v>213.358205</v>
      </c>
      <c r="Q49">
        <v>154.234714</v>
      </c>
      <c r="R49">
        <v>263.64535100000001</v>
      </c>
      <c r="S49">
        <v>189.445987</v>
      </c>
      <c r="T49">
        <v>213.358205</v>
      </c>
      <c r="U49">
        <v>154.234714</v>
      </c>
      <c r="V49" t="s">
        <v>6</v>
      </c>
    </row>
    <row r="50" spans="1:22" x14ac:dyDescent="0.35">
      <c r="A50">
        <v>14</v>
      </c>
      <c r="B50">
        <v>2</v>
      </c>
      <c r="C50">
        <v>7.5994669999999998</v>
      </c>
      <c r="D50">
        <v>0</v>
      </c>
      <c r="E50">
        <v>0</v>
      </c>
      <c r="F50" s="3">
        <v>1</v>
      </c>
      <c r="G50">
        <v>1</v>
      </c>
      <c r="H50">
        <v>1</v>
      </c>
      <c r="I50">
        <v>0</v>
      </c>
      <c r="J50">
        <v>25.663050999999999</v>
      </c>
      <c r="K50">
        <v>18.440538</v>
      </c>
      <c r="L50">
        <v>20.768135999999998</v>
      </c>
      <c r="M50">
        <v>15.013097</v>
      </c>
      <c r="N50">
        <v>195.025509</v>
      </c>
      <c r="O50">
        <v>140.13825800000001</v>
      </c>
      <c r="P50">
        <v>157.826764</v>
      </c>
      <c r="Q50">
        <v>114.091538</v>
      </c>
      <c r="R50">
        <v>195.025509</v>
      </c>
      <c r="S50">
        <v>140.13825800000001</v>
      </c>
      <c r="T50">
        <v>157.826764</v>
      </c>
      <c r="U50">
        <v>114.091538</v>
      </c>
      <c r="V50" t="s">
        <v>50</v>
      </c>
    </row>
    <row r="51" spans="1:22" x14ac:dyDescent="0.35">
      <c r="A51">
        <v>15</v>
      </c>
      <c r="B51">
        <v>1</v>
      </c>
      <c r="C51">
        <v>11.460032999999999</v>
      </c>
      <c r="D51">
        <v>0</v>
      </c>
      <c r="E51">
        <v>0</v>
      </c>
      <c r="F51" s="3">
        <v>1</v>
      </c>
      <c r="G51">
        <v>1</v>
      </c>
      <c r="H51">
        <v>1</v>
      </c>
      <c r="I51">
        <v>0</v>
      </c>
      <c r="J51">
        <v>25.663050999999999</v>
      </c>
      <c r="K51">
        <v>18.440538</v>
      </c>
      <c r="L51">
        <v>20.768135999999998</v>
      </c>
      <c r="M51">
        <v>15.013097</v>
      </c>
      <c r="N51">
        <v>294.09941099999998</v>
      </c>
      <c r="O51">
        <v>211.32917</v>
      </c>
      <c r="P51">
        <v>238.003524</v>
      </c>
      <c r="Q51">
        <v>172.050591</v>
      </c>
      <c r="R51">
        <v>294.09941099999998</v>
      </c>
      <c r="S51">
        <v>211.32917</v>
      </c>
      <c r="T51">
        <v>238.003524</v>
      </c>
      <c r="U51">
        <v>172.050591</v>
      </c>
      <c r="V51" t="s">
        <v>7</v>
      </c>
    </row>
    <row r="52" spans="1:22" x14ac:dyDescent="0.35">
      <c r="A52">
        <v>16</v>
      </c>
      <c r="B52">
        <v>1</v>
      </c>
      <c r="C52">
        <v>11.460032999999999</v>
      </c>
      <c r="D52">
        <v>0</v>
      </c>
      <c r="E52">
        <v>0</v>
      </c>
      <c r="F52" s="3">
        <v>1</v>
      </c>
      <c r="G52">
        <v>1</v>
      </c>
      <c r="H52">
        <v>1</v>
      </c>
      <c r="I52">
        <v>0</v>
      </c>
      <c r="J52">
        <v>25.663050999999999</v>
      </c>
      <c r="K52">
        <v>18.440538</v>
      </c>
      <c r="L52">
        <v>20.768135999999998</v>
      </c>
      <c r="M52">
        <v>15.013097</v>
      </c>
      <c r="N52">
        <v>294.09941099999998</v>
      </c>
      <c r="O52">
        <v>211.32917</v>
      </c>
      <c r="P52">
        <v>238.003524</v>
      </c>
      <c r="Q52">
        <v>172.050591</v>
      </c>
      <c r="R52">
        <v>294.09941099999998</v>
      </c>
      <c r="S52">
        <v>211.32917</v>
      </c>
      <c r="T52">
        <v>238.003524</v>
      </c>
      <c r="U52">
        <v>172.050591</v>
      </c>
      <c r="V52" t="s">
        <v>8</v>
      </c>
    </row>
    <row r="54" spans="1:22" x14ac:dyDescent="0.35">
      <c r="N54">
        <v>125.608</v>
      </c>
      <c r="O54" t="s">
        <v>70</v>
      </c>
    </row>
    <row r="55" spans="1:22" x14ac:dyDescent="0.35">
      <c r="N55">
        <v>6.5918299999999999</v>
      </c>
      <c r="O55" t="s">
        <v>71</v>
      </c>
    </row>
    <row r="56" spans="1:22" x14ac:dyDescent="0.35">
      <c r="N56" s="3">
        <f>N54/N55</f>
        <v>19.055103059393218</v>
      </c>
      <c r="O56" t="s">
        <v>72</v>
      </c>
    </row>
    <row r="60" spans="1:22" x14ac:dyDescent="0.35">
      <c r="C60" t="s">
        <v>16</v>
      </c>
      <c r="D60" t="s">
        <v>22</v>
      </c>
      <c r="E60" t="s">
        <v>23</v>
      </c>
      <c r="F60" t="s">
        <v>74</v>
      </c>
      <c r="G60" s="3" t="s">
        <v>26</v>
      </c>
    </row>
    <row r="61" spans="1:22" x14ac:dyDescent="0.35">
      <c r="C61">
        <v>0</v>
      </c>
      <c r="D61">
        <v>9</v>
      </c>
      <c r="E61">
        <v>0</v>
      </c>
      <c r="F61">
        <v>0</v>
      </c>
      <c r="G61" s="3">
        <v>0</v>
      </c>
    </row>
    <row r="62" spans="1:22" x14ac:dyDescent="0.35">
      <c r="C62">
        <v>1</v>
      </c>
      <c r="D62">
        <v>5</v>
      </c>
      <c r="E62">
        <v>10.195</v>
      </c>
      <c r="F62">
        <v>0</v>
      </c>
      <c r="G62" s="3">
        <v>1</v>
      </c>
    </row>
    <row r="63" spans="1:22" x14ac:dyDescent="0.35">
      <c r="C63">
        <v>2</v>
      </c>
      <c r="D63">
        <v>4</v>
      </c>
      <c r="E63">
        <v>3.8515999999999999</v>
      </c>
      <c r="F63">
        <v>66.666667000000004</v>
      </c>
      <c r="G63" s="3">
        <v>11.269124</v>
      </c>
    </row>
    <row r="64" spans="1:22" x14ac:dyDescent="0.35">
      <c r="C64">
        <v>3</v>
      </c>
      <c r="D64">
        <v>3</v>
      </c>
      <c r="E64">
        <v>7.3254999999999999</v>
      </c>
      <c r="F64">
        <v>100</v>
      </c>
      <c r="G64" s="3">
        <v>12.466004</v>
      </c>
    </row>
    <row r="65" spans="3:7" x14ac:dyDescent="0.35">
      <c r="C65">
        <v>4</v>
      </c>
      <c r="D65">
        <v>2</v>
      </c>
      <c r="E65">
        <v>1.993571</v>
      </c>
      <c r="F65">
        <v>100</v>
      </c>
      <c r="G65" s="3">
        <v>12.466004</v>
      </c>
    </row>
    <row r="66" spans="3:7" x14ac:dyDescent="0.35">
      <c r="C66" s="3">
        <v>5</v>
      </c>
      <c r="D66" s="3">
        <v>1</v>
      </c>
      <c r="E66" s="3">
        <v>6.5918289999999997</v>
      </c>
      <c r="F66" s="3">
        <v>100</v>
      </c>
      <c r="G66" s="1">
        <v>19.05508</v>
      </c>
    </row>
    <row r="67" spans="3:7" x14ac:dyDescent="0.35">
      <c r="C67">
        <v>6</v>
      </c>
      <c r="D67">
        <v>1</v>
      </c>
      <c r="E67">
        <v>6.5918289999999997</v>
      </c>
      <c r="F67">
        <v>100</v>
      </c>
      <c r="G67" s="3">
        <v>12.466004</v>
      </c>
    </row>
    <row r="68" spans="3:7" x14ac:dyDescent="0.35">
      <c r="C68">
        <v>7</v>
      </c>
      <c r="D68">
        <v>1</v>
      </c>
      <c r="E68">
        <v>8.5853999999999999</v>
      </c>
      <c r="F68">
        <v>100</v>
      </c>
      <c r="G68" s="3">
        <v>12.466004</v>
      </c>
    </row>
    <row r="69" spans="3:7" x14ac:dyDescent="0.35">
      <c r="C69">
        <v>8</v>
      </c>
      <c r="D69">
        <v>1</v>
      </c>
      <c r="E69">
        <v>15.910500000000001</v>
      </c>
      <c r="F69">
        <v>66.666667000000004</v>
      </c>
      <c r="G69" s="3">
        <v>10.682316</v>
      </c>
    </row>
    <row r="70" spans="3:7" x14ac:dyDescent="0.35">
      <c r="C70">
        <v>9</v>
      </c>
      <c r="D70">
        <v>1</v>
      </c>
      <c r="E70">
        <v>19.762499999999999</v>
      </c>
      <c r="F70">
        <v>0</v>
      </c>
      <c r="G70" s="3">
        <v>1</v>
      </c>
    </row>
    <row r="71" spans="3:7" x14ac:dyDescent="0.35">
      <c r="C71">
        <v>10</v>
      </c>
      <c r="D71">
        <v>4</v>
      </c>
      <c r="E71">
        <v>10.898300000000001</v>
      </c>
      <c r="F71">
        <v>0</v>
      </c>
      <c r="G71" s="3">
        <v>1</v>
      </c>
    </row>
    <row r="72" spans="3:7" x14ac:dyDescent="0.35">
      <c r="C72">
        <v>11</v>
      </c>
      <c r="D72">
        <v>2</v>
      </c>
      <c r="E72">
        <v>8.7863559999999996</v>
      </c>
      <c r="F72">
        <v>0</v>
      </c>
      <c r="G72" s="3">
        <v>1</v>
      </c>
    </row>
    <row r="73" spans="3:7" x14ac:dyDescent="0.35">
      <c r="C73">
        <v>12</v>
      </c>
      <c r="D73">
        <v>1</v>
      </c>
      <c r="E73">
        <v>10.273344</v>
      </c>
      <c r="F73">
        <v>0</v>
      </c>
      <c r="G73" s="3">
        <v>1</v>
      </c>
    </row>
    <row r="74" spans="3:7" x14ac:dyDescent="0.35">
      <c r="C74">
        <v>13</v>
      </c>
      <c r="D74">
        <v>1</v>
      </c>
      <c r="E74">
        <v>10.273344</v>
      </c>
      <c r="F74">
        <v>0</v>
      </c>
      <c r="G74" s="3">
        <v>1</v>
      </c>
    </row>
    <row r="75" spans="3:7" x14ac:dyDescent="0.35">
      <c r="C75">
        <v>14</v>
      </c>
      <c r="D75">
        <v>2</v>
      </c>
      <c r="E75">
        <v>7.5994669999999998</v>
      </c>
      <c r="F75">
        <v>0</v>
      </c>
      <c r="G75" s="3">
        <v>1</v>
      </c>
    </row>
    <row r="76" spans="3:7" x14ac:dyDescent="0.35">
      <c r="C76">
        <v>15</v>
      </c>
      <c r="D76">
        <v>1</v>
      </c>
      <c r="E76">
        <v>11.460032999999999</v>
      </c>
      <c r="F76">
        <v>0</v>
      </c>
      <c r="G76" s="3">
        <v>1</v>
      </c>
    </row>
    <row r="77" spans="3:7" x14ac:dyDescent="0.35">
      <c r="C77">
        <v>16</v>
      </c>
      <c r="D77">
        <v>1</v>
      </c>
      <c r="E77">
        <v>11.460032999999999</v>
      </c>
      <c r="F77">
        <v>0</v>
      </c>
      <c r="G77" s="3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DD60-18D4-433B-AB39-841EB03F38FA}">
  <dimension ref="A1:AZ72"/>
  <sheetViews>
    <sheetView tabSelected="1" topLeftCell="A24" workbookViewId="0">
      <selection activeCell="X39" sqref="X39"/>
    </sheetView>
  </sheetViews>
  <sheetFormatPr defaultRowHeight="14.5" x14ac:dyDescent="0.35"/>
  <sheetData>
    <row r="1" spans="1:12" x14ac:dyDescent="0.35">
      <c r="A1">
        <v>9</v>
      </c>
    </row>
    <row r="2" spans="1:12" x14ac:dyDescent="0.35">
      <c r="A2">
        <v>0</v>
      </c>
      <c r="B2" t="s">
        <v>0</v>
      </c>
    </row>
    <row r="3" spans="1:12" x14ac:dyDescent="0.35">
      <c r="A3">
        <v>1</v>
      </c>
      <c r="B3" t="s">
        <v>1</v>
      </c>
    </row>
    <row r="4" spans="1:12" x14ac:dyDescent="0.35">
      <c r="A4">
        <v>2</v>
      </c>
      <c r="B4" t="s">
        <v>2</v>
      </c>
    </row>
    <row r="5" spans="1:12" x14ac:dyDescent="0.35">
      <c r="A5">
        <v>3</v>
      </c>
      <c r="B5" t="s">
        <v>3</v>
      </c>
    </row>
    <row r="6" spans="1:12" x14ac:dyDescent="0.35">
      <c r="A6">
        <v>4</v>
      </c>
      <c r="B6" t="s">
        <v>4</v>
      </c>
    </row>
    <row r="7" spans="1:12" x14ac:dyDescent="0.35">
      <c r="A7">
        <v>5</v>
      </c>
      <c r="B7" t="s">
        <v>5</v>
      </c>
    </row>
    <row r="8" spans="1:12" x14ac:dyDescent="0.35">
      <c r="A8">
        <v>6</v>
      </c>
      <c r="B8" t="s">
        <v>6</v>
      </c>
    </row>
    <row r="9" spans="1:12" x14ac:dyDescent="0.35">
      <c r="A9">
        <v>7</v>
      </c>
      <c r="B9" t="s">
        <v>7</v>
      </c>
    </row>
    <row r="10" spans="1:12" x14ac:dyDescent="0.35">
      <c r="A10">
        <v>8</v>
      </c>
      <c r="B10" t="s">
        <v>8</v>
      </c>
    </row>
    <row r="11" spans="1:12" x14ac:dyDescent="0.35">
      <c r="A11">
        <v>17</v>
      </c>
    </row>
    <row r="12" spans="1:12" x14ac:dyDescent="0.35">
      <c r="A12">
        <v>0</v>
      </c>
      <c r="B12">
        <v>-1</v>
      </c>
      <c r="C12">
        <v>9</v>
      </c>
      <c r="D12">
        <v>0</v>
      </c>
      <c r="E12">
        <v>1</v>
      </c>
      <c r="F12">
        <v>2</v>
      </c>
      <c r="G12">
        <v>3</v>
      </c>
      <c r="H12">
        <v>4</v>
      </c>
      <c r="I12">
        <v>5</v>
      </c>
      <c r="J12">
        <v>6</v>
      </c>
      <c r="K12">
        <v>7</v>
      </c>
      <c r="L12">
        <v>8</v>
      </c>
    </row>
    <row r="13" spans="1:12" x14ac:dyDescent="0.35">
      <c r="A13">
        <v>1</v>
      </c>
      <c r="B13">
        <v>10.195</v>
      </c>
      <c r="C13">
        <v>5</v>
      </c>
      <c r="D13">
        <v>0</v>
      </c>
      <c r="E13">
        <v>1</v>
      </c>
      <c r="F13">
        <v>2</v>
      </c>
      <c r="G13">
        <v>3</v>
      </c>
      <c r="H13">
        <v>4</v>
      </c>
    </row>
    <row r="14" spans="1:12" x14ac:dyDescent="0.35">
      <c r="A14">
        <v>2</v>
      </c>
      <c r="B14">
        <v>3.8515999999999999</v>
      </c>
      <c r="C14">
        <v>4</v>
      </c>
      <c r="D14">
        <v>0</v>
      </c>
      <c r="E14">
        <v>1</v>
      </c>
      <c r="F14">
        <v>2</v>
      </c>
      <c r="G14">
        <v>3</v>
      </c>
    </row>
    <row r="15" spans="1:12" x14ac:dyDescent="0.35">
      <c r="A15">
        <v>3</v>
      </c>
      <c r="B15">
        <v>7.3254999999999999</v>
      </c>
      <c r="C15">
        <v>3</v>
      </c>
      <c r="D15">
        <v>0</v>
      </c>
      <c r="E15">
        <v>1</v>
      </c>
      <c r="F15">
        <v>2</v>
      </c>
    </row>
    <row r="16" spans="1:12" x14ac:dyDescent="0.35">
      <c r="A16">
        <v>4</v>
      </c>
      <c r="B16">
        <v>1.993571</v>
      </c>
      <c r="C16">
        <v>2</v>
      </c>
      <c r="D16">
        <v>0</v>
      </c>
      <c r="E16">
        <v>1</v>
      </c>
    </row>
    <row r="17" spans="1:21" x14ac:dyDescent="0.35">
      <c r="A17">
        <v>5</v>
      </c>
      <c r="B17">
        <v>6.5918289999999997</v>
      </c>
      <c r="C17">
        <v>1</v>
      </c>
      <c r="D17">
        <v>0</v>
      </c>
    </row>
    <row r="18" spans="1:21" x14ac:dyDescent="0.35">
      <c r="A18">
        <v>6</v>
      </c>
      <c r="B18">
        <v>6.5918289999999997</v>
      </c>
      <c r="C18">
        <v>1</v>
      </c>
      <c r="D18">
        <v>1</v>
      </c>
    </row>
    <row r="19" spans="1:21" x14ac:dyDescent="0.35">
      <c r="A19">
        <v>7</v>
      </c>
      <c r="B19">
        <v>8.5853999999999999</v>
      </c>
      <c r="C19">
        <v>1</v>
      </c>
      <c r="D19">
        <v>2</v>
      </c>
    </row>
    <row r="20" spans="1:21" x14ac:dyDescent="0.35">
      <c r="A20">
        <v>8</v>
      </c>
      <c r="B20">
        <v>15.910500000000001</v>
      </c>
      <c r="C20">
        <v>1</v>
      </c>
      <c r="D20">
        <v>3</v>
      </c>
    </row>
    <row r="21" spans="1:21" x14ac:dyDescent="0.35">
      <c r="A21">
        <v>9</v>
      </c>
      <c r="B21">
        <v>19.762499999999999</v>
      </c>
      <c r="C21">
        <v>1</v>
      </c>
      <c r="D21">
        <v>4</v>
      </c>
    </row>
    <row r="22" spans="1:21" x14ac:dyDescent="0.35">
      <c r="A22">
        <v>10</v>
      </c>
      <c r="B22">
        <v>10.898300000000001</v>
      </c>
      <c r="C22">
        <v>4</v>
      </c>
      <c r="D22">
        <v>5</v>
      </c>
      <c r="E22">
        <v>6</v>
      </c>
      <c r="F22">
        <v>7</v>
      </c>
      <c r="G22">
        <v>8</v>
      </c>
    </row>
    <row r="23" spans="1:21" x14ac:dyDescent="0.35">
      <c r="A23">
        <v>11</v>
      </c>
      <c r="B23">
        <v>8.7863559999999996</v>
      </c>
      <c r="C23">
        <v>2</v>
      </c>
      <c r="D23">
        <v>5</v>
      </c>
      <c r="E23">
        <v>6</v>
      </c>
    </row>
    <row r="24" spans="1:21" x14ac:dyDescent="0.35">
      <c r="A24">
        <v>12</v>
      </c>
      <c r="B24">
        <v>10.273344</v>
      </c>
      <c r="C24">
        <v>1</v>
      </c>
      <c r="D24">
        <v>5</v>
      </c>
    </row>
    <row r="25" spans="1:21" x14ac:dyDescent="0.35">
      <c r="A25">
        <v>13</v>
      </c>
      <c r="B25">
        <v>10.273344</v>
      </c>
      <c r="C25">
        <v>1</v>
      </c>
      <c r="D25">
        <v>6</v>
      </c>
    </row>
    <row r="26" spans="1:21" x14ac:dyDescent="0.35">
      <c r="A26">
        <v>14</v>
      </c>
      <c r="B26">
        <v>7.5994669999999998</v>
      </c>
      <c r="C26">
        <v>2</v>
      </c>
      <c r="D26">
        <v>7</v>
      </c>
      <c r="E26">
        <v>8</v>
      </c>
      <c r="T26">
        <f>I30+Q32</f>
        <v>-3.065598</v>
      </c>
      <c r="U26">
        <f>T26/2</f>
        <v>-1.532799</v>
      </c>
    </row>
    <row r="27" spans="1:21" x14ac:dyDescent="0.35">
      <c r="A27">
        <v>15</v>
      </c>
      <c r="B27">
        <v>11.460032999999999</v>
      </c>
      <c r="C27">
        <v>1</v>
      </c>
      <c r="D27">
        <v>7</v>
      </c>
      <c r="U27">
        <f>MEDIAN(I30,Q32)</f>
        <v>-1.532799</v>
      </c>
    </row>
    <row r="28" spans="1:21" x14ac:dyDescent="0.35">
      <c r="A28">
        <v>16</v>
      </c>
      <c r="B28">
        <v>11.460032999999999</v>
      </c>
      <c r="C28">
        <v>1</v>
      </c>
      <c r="D28">
        <v>8</v>
      </c>
    </row>
    <row r="29" spans="1:21" x14ac:dyDescent="0.35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s="5" t="s">
        <v>16</v>
      </c>
      <c r="I29" s="5" t="s">
        <v>17</v>
      </c>
      <c r="J29" s="5" t="s">
        <v>18</v>
      </c>
      <c r="K29" s="5" t="s">
        <v>19</v>
      </c>
    </row>
    <row r="30" spans="1:21" x14ac:dyDescent="0.35">
      <c r="A30">
        <v>10000</v>
      </c>
      <c r="B30">
        <v>-45.376750000000001</v>
      </c>
      <c r="C30">
        <v>-60.097217000000001</v>
      </c>
      <c r="D30">
        <v>2</v>
      </c>
      <c r="E30">
        <v>19.207253999999999</v>
      </c>
      <c r="F30">
        <v>61.958074000000003</v>
      </c>
      <c r="G30">
        <v>1.2</v>
      </c>
      <c r="H30" s="4">
        <v>11</v>
      </c>
      <c r="I30" s="4">
        <v>-0.947936</v>
      </c>
      <c r="J30" s="4">
        <v>9893</v>
      </c>
      <c r="K30" s="4" t="s">
        <v>75</v>
      </c>
      <c r="L30" s="3">
        <v>15</v>
      </c>
      <c r="M30" s="3">
        <v>-0.44727600000000001</v>
      </c>
      <c r="N30" s="3">
        <v>9811</v>
      </c>
      <c r="O30" s="3" t="s">
        <v>75</v>
      </c>
    </row>
    <row r="31" spans="1:21" x14ac:dyDescent="0.35">
      <c r="A31">
        <v>11000</v>
      </c>
      <c r="B31">
        <v>-43.416938000000002</v>
      </c>
      <c r="C31">
        <v>-59.511589000000001</v>
      </c>
      <c r="D31">
        <v>2</v>
      </c>
      <c r="E31">
        <v>11.622481000000001</v>
      </c>
      <c r="F31">
        <v>30.084890000000001</v>
      </c>
      <c r="G31">
        <v>1.2</v>
      </c>
      <c r="H31" s="2">
        <v>3</v>
      </c>
      <c r="I31" s="2">
        <v>3.379407</v>
      </c>
      <c r="J31" s="2">
        <v>10942</v>
      </c>
      <c r="K31" s="2" t="s">
        <v>21</v>
      </c>
      <c r="L31" s="7">
        <v>16</v>
      </c>
      <c r="M31" s="7">
        <v>-1.977708</v>
      </c>
      <c r="N31" s="7">
        <v>10884</v>
      </c>
      <c r="O31" s="7" t="s">
        <v>75</v>
      </c>
      <c r="P31" s="2"/>
      <c r="Q31" s="2"/>
      <c r="R31" s="2"/>
      <c r="S31" s="2"/>
    </row>
    <row r="32" spans="1:21" x14ac:dyDescent="0.35">
      <c r="A32">
        <v>12000</v>
      </c>
      <c r="B32">
        <v>-45.260738000000003</v>
      </c>
      <c r="C32">
        <v>-64.123926999999995</v>
      </c>
      <c r="D32">
        <v>3</v>
      </c>
      <c r="E32">
        <v>28.959254000000001</v>
      </c>
      <c r="F32">
        <v>65.340007999999997</v>
      </c>
      <c r="G32">
        <v>1.2</v>
      </c>
      <c r="H32" s="8">
        <v>1</v>
      </c>
      <c r="I32" s="8">
        <v>-0.82845000000000002</v>
      </c>
      <c r="J32" s="8">
        <v>11863</v>
      </c>
      <c r="K32" s="8" t="s">
        <v>75</v>
      </c>
      <c r="L32" s="3">
        <v>10</v>
      </c>
      <c r="M32" s="3">
        <v>0.48656300000000002</v>
      </c>
      <c r="N32" s="3">
        <v>11998</v>
      </c>
      <c r="O32" s="3" t="s">
        <v>75</v>
      </c>
      <c r="P32" s="2">
        <v>11</v>
      </c>
      <c r="Q32" s="2">
        <v>-2.1176620000000002</v>
      </c>
      <c r="R32" s="2">
        <v>11834</v>
      </c>
      <c r="S32" s="2" t="s">
        <v>75</v>
      </c>
    </row>
    <row r="35" spans="1:52" x14ac:dyDescent="0.35">
      <c r="A35" t="s">
        <v>76</v>
      </c>
      <c r="B35" t="s">
        <v>77</v>
      </c>
      <c r="C35" t="s">
        <v>78</v>
      </c>
      <c r="D35" t="s">
        <v>79</v>
      </c>
      <c r="E35" t="s">
        <v>80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  <c r="K35" t="s">
        <v>86</v>
      </c>
      <c r="L35" s="9" t="s">
        <v>87</v>
      </c>
      <c r="M35" t="s">
        <v>88</v>
      </c>
      <c r="N35" t="s">
        <v>89</v>
      </c>
      <c r="O35" t="s">
        <v>90</v>
      </c>
      <c r="P35" t="s">
        <v>91</v>
      </c>
      <c r="Q35" t="s">
        <v>92</v>
      </c>
      <c r="R35" t="s">
        <v>93</v>
      </c>
      <c r="S35" t="s">
        <v>94</v>
      </c>
      <c r="T35" t="s">
        <v>95</v>
      </c>
      <c r="U35" t="s">
        <v>96</v>
      </c>
      <c r="V35" t="s">
        <v>97</v>
      </c>
      <c r="W35" t="s">
        <v>98</v>
      </c>
      <c r="X35" s="1" t="s">
        <v>26</v>
      </c>
      <c r="Y35" t="s">
        <v>29</v>
      </c>
      <c r="Z35" t="s">
        <v>99</v>
      </c>
      <c r="AA35" t="s">
        <v>100</v>
      </c>
      <c r="AB35" t="s">
        <v>101</v>
      </c>
      <c r="AC35" t="s">
        <v>102</v>
      </c>
      <c r="AD35" t="s">
        <v>103</v>
      </c>
      <c r="AE35" t="s">
        <v>104</v>
      </c>
      <c r="AF35" t="s">
        <v>105</v>
      </c>
      <c r="AG35" t="s">
        <v>106</v>
      </c>
      <c r="AH35" t="s">
        <v>107</v>
      </c>
      <c r="AI35" t="s">
        <v>108</v>
      </c>
      <c r="AJ35" t="s">
        <v>109</v>
      </c>
      <c r="AK35" t="s">
        <v>110</v>
      </c>
      <c r="AL35" t="s">
        <v>111</v>
      </c>
      <c r="AM35" t="s">
        <v>112</v>
      </c>
      <c r="AN35" t="s">
        <v>113</v>
      </c>
      <c r="AO35" t="s">
        <v>114</v>
      </c>
      <c r="AP35" t="s">
        <v>115</v>
      </c>
      <c r="AQ35" t="s">
        <v>22</v>
      </c>
      <c r="AR35" t="s">
        <v>116</v>
      </c>
      <c r="AS35" t="s">
        <v>117</v>
      </c>
      <c r="AT35" t="s">
        <v>118</v>
      </c>
      <c r="AU35" t="s">
        <v>119</v>
      </c>
      <c r="AV35" t="s">
        <v>120</v>
      </c>
      <c r="AW35" t="s">
        <v>121</v>
      </c>
      <c r="AX35" t="s">
        <v>122</v>
      </c>
      <c r="AY35" t="s">
        <v>123</v>
      </c>
      <c r="AZ35" t="s">
        <v>124</v>
      </c>
    </row>
    <row r="36" spans="1:52" x14ac:dyDescent="0.35">
      <c r="A36">
        <v>0</v>
      </c>
      <c r="B36">
        <v>0</v>
      </c>
      <c r="C36">
        <v>29.957999999999998</v>
      </c>
      <c r="D36">
        <v>29.957999999999998</v>
      </c>
      <c r="E36">
        <v>303.11721269819998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 s="9">
        <v>0</v>
      </c>
      <c r="M36">
        <v>0</v>
      </c>
      <c r="N36">
        <v>3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1">
        <v>1</v>
      </c>
      <c r="Y36">
        <v>0</v>
      </c>
      <c r="Z36">
        <v>1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0.33333333333333298</v>
      </c>
      <c r="AO36" t="s">
        <v>125</v>
      </c>
      <c r="AP36" t="s">
        <v>126</v>
      </c>
      <c r="AQ36">
        <v>9</v>
      </c>
      <c r="AR36" t="s">
        <v>7</v>
      </c>
      <c r="AS36" t="s">
        <v>2</v>
      </c>
      <c r="AT36" t="s">
        <v>0</v>
      </c>
      <c r="AU36" t="s">
        <v>4</v>
      </c>
      <c r="AV36" t="s">
        <v>5</v>
      </c>
      <c r="AW36" t="s">
        <v>8</v>
      </c>
      <c r="AX36" t="s">
        <v>1</v>
      </c>
      <c r="AY36" t="s">
        <v>6</v>
      </c>
      <c r="AZ36" t="s">
        <v>3</v>
      </c>
    </row>
    <row r="37" spans="1:52" x14ac:dyDescent="0.35">
      <c r="A37">
        <v>1</v>
      </c>
      <c r="B37">
        <v>10.195</v>
      </c>
      <c r="C37">
        <v>19.763000000000002</v>
      </c>
      <c r="D37">
        <v>24.860499999999998</v>
      </c>
      <c r="E37">
        <v>161.61545714279899</v>
      </c>
      <c r="F37">
        <v>2</v>
      </c>
      <c r="G37">
        <v>2</v>
      </c>
      <c r="H37">
        <v>2</v>
      </c>
      <c r="I37">
        <v>0</v>
      </c>
      <c r="J37">
        <v>-0.27615000000000001</v>
      </c>
      <c r="K37">
        <v>0.39053507524933001</v>
      </c>
      <c r="L37" s="9">
        <v>-0.82845000000000002</v>
      </c>
      <c r="M37">
        <v>0</v>
      </c>
      <c r="N37">
        <v>3</v>
      </c>
      <c r="O37">
        <v>0</v>
      </c>
      <c r="P37">
        <v>0.33333333333333298</v>
      </c>
      <c r="Q37">
        <v>0.66666666666666596</v>
      </c>
      <c r="R37">
        <v>0</v>
      </c>
      <c r="S37">
        <v>9.6845683950919498E-2</v>
      </c>
      <c r="T37">
        <v>0.33333333333333298</v>
      </c>
      <c r="U37" t="s">
        <v>127</v>
      </c>
      <c r="V37">
        <v>0</v>
      </c>
      <c r="W37">
        <v>0</v>
      </c>
      <c r="X37" s="1">
        <v>1</v>
      </c>
      <c r="Y37">
        <v>0</v>
      </c>
      <c r="Z37">
        <v>1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 t="s">
        <v>125</v>
      </c>
      <c r="AP37" t="s">
        <v>128</v>
      </c>
      <c r="AQ37">
        <v>5</v>
      </c>
      <c r="AR37" t="s">
        <v>2</v>
      </c>
      <c r="AS37" t="s">
        <v>0</v>
      </c>
      <c r="AT37" t="s">
        <v>4</v>
      </c>
      <c r="AU37" t="s">
        <v>1</v>
      </c>
      <c r="AV37" t="s">
        <v>3</v>
      </c>
    </row>
    <row r="38" spans="1:52" x14ac:dyDescent="0.35">
      <c r="A38">
        <v>2</v>
      </c>
      <c r="B38">
        <v>3.8515999999999999</v>
      </c>
      <c r="C38">
        <v>15.9114</v>
      </c>
      <c r="D38">
        <v>17.837199999999999</v>
      </c>
      <c r="E38">
        <v>101.700457142799</v>
      </c>
      <c r="F38">
        <v>2</v>
      </c>
      <c r="G38">
        <v>4</v>
      </c>
      <c r="H38">
        <v>4</v>
      </c>
      <c r="I38">
        <v>2</v>
      </c>
      <c r="J38">
        <v>0</v>
      </c>
      <c r="K38">
        <v>0</v>
      </c>
      <c r="L38" s="9">
        <v>0</v>
      </c>
      <c r="M38">
        <v>0</v>
      </c>
      <c r="N38">
        <v>3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1">
        <v>1</v>
      </c>
      <c r="Y38">
        <v>0</v>
      </c>
      <c r="Z38">
        <v>1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s">
        <v>125</v>
      </c>
      <c r="AP38" t="s">
        <v>129</v>
      </c>
      <c r="AQ38">
        <v>4</v>
      </c>
      <c r="AR38" t="s">
        <v>2</v>
      </c>
      <c r="AS38" t="s">
        <v>0</v>
      </c>
      <c r="AT38" t="s">
        <v>1</v>
      </c>
      <c r="AU38" t="s">
        <v>3</v>
      </c>
    </row>
    <row r="39" spans="1:52" s="2" customFormat="1" x14ac:dyDescent="0.35">
      <c r="A39" s="2">
        <v>3</v>
      </c>
      <c r="B39" s="2">
        <v>7.3254999999999999</v>
      </c>
      <c r="C39" s="2">
        <v>8.5859000000000005</v>
      </c>
      <c r="D39" s="2">
        <v>12.24865</v>
      </c>
      <c r="E39" s="2">
        <v>62.176257142799997</v>
      </c>
      <c r="F39" s="2">
        <v>2</v>
      </c>
      <c r="G39" s="2">
        <v>7</v>
      </c>
      <c r="H39" s="2">
        <v>5</v>
      </c>
      <c r="I39" s="2">
        <v>4</v>
      </c>
      <c r="J39">
        <v>0</v>
      </c>
      <c r="K39" s="2">
        <v>0</v>
      </c>
      <c r="L39" s="9">
        <v>0</v>
      </c>
      <c r="M39" s="2">
        <v>0</v>
      </c>
      <c r="N39" s="2">
        <v>3</v>
      </c>
      <c r="O39" s="2">
        <v>0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1">
        <v>1.79313566666666</v>
      </c>
      <c r="Y39" s="2">
        <v>1.1216632166018199</v>
      </c>
      <c r="Z39" s="2">
        <v>3.379407</v>
      </c>
      <c r="AA39" s="2">
        <v>3.379407</v>
      </c>
      <c r="AB39" s="2">
        <v>0</v>
      </c>
      <c r="AC39" s="2">
        <v>0</v>
      </c>
      <c r="AD39" s="2">
        <v>0.66666666666666596</v>
      </c>
      <c r="AE39" s="2">
        <v>0.33333333333333298</v>
      </c>
      <c r="AF39" s="2">
        <v>0.102458980078958</v>
      </c>
      <c r="AG39" s="2">
        <v>0.33333333333333298</v>
      </c>
      <c r="AH39" s="2" t="s">
        <v>127</v>
      </c>
      <c r="AI39" s="2">
        <v>0</v>
      </c>
      <c r="AJ39" s="2">
        <v>0</v>
      </c>
      <c r="AK39" s="2">
        <v>0</v>
      </c>
      <c r="AL39" s="2">
        <v>1</v>
      </c>
      <c r="AM39" s="2">
        <v>0</v>
      </c>
      <c r="AN39" s="2">
        <v>0</v>
      </c>
      <c r="AO39" s="2" t="s">
        <v>125</v>
      </c>
      <c r="AP39" s="2" t="s">
        <v>130</v>
      </c>
      <c r="AQ39" s="2">
        <v>3</v>
      </c>
      <c r="AR39" s="2" t="s">
        <v>2</v>
      </c>
      <c r="AS39" s="2" t="s">
        <v>0</v>
      </c>
      <c r="AT39" s="2" t="s">
        <v>1</v>
      </c>
    </row>
    <row r="40" spans="1:52" x14ac:dyDescent="0.35">
      <c r="A40">
        <v>4</v>
      </c>
      <c r="B40">
        <v>1.9935714285999999</v>
      </c>
      <c r="C40">
        <v>6.5923285714000004</v>
      </c>
      <c r="D40">
        <v>7.5891142857</v>
      </c>
      <c r="E40">
        <v>30.354457142800001</v>
      </c>
      <c r="F40">
        <v>2</v>
      </c>
      <c r="G40">
        <v>8</v>
      </c>
      <c r="H40">
        <v>8</v>
      </c>
      <c r="I40">
        <v>7</v>
      </c>
      <c r="J40">
        <v>0</v>
      </c>
      <c r="K40">
        <v>0</v>
      </c>
      <c r="L40" s="9">
        <v>0</v>
      </c>
      <c r="M40">
        <v>0</v>
      </c>
      <c r="N40">
        <v>3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1">
        <v>1</v>
      </c>
      <c r="Y40">
        <v>0</v>
      </c>
      <c r="Z40">
        <v>1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125</v>
      </c>
      <c r="AP40" t="s">
        <v>131</v>
      </c>
      <c r="AQ40">
        <v>2</v>
      </c>
      <c r="AR40" t="s">
        <v>0</v>
      </c>
      <c r="AS40" t="s">
        <v>1</v>
      </c>
    </row>
    <row r="41" spans="1:52" x14ac:dyDescent="0.35">
      <c r="A41">
        <v>5</v>
      </c>
      <c r="B41">
        <v>6.5918285713999998</v>
      </c>
      <c r="C41">
        <v>5.0000000000238699E-4</v>
      </c>
      <c r="D41">
        <v>3.2964142857000001</v>
      </c>
      <c r="E41">
        <v>0</v>
      </c>
      <c r="F41">
        <v>0</v>
      </c>
      <c r="G41">
        <v>8</v>
      </c>
      <c r="H41">
        <v>9</v>
      </c>
      <c r="I41">
        <v>7</v>
      </c>
      <c r="J41">
        <v>0</v>
      </c>
      <c r="K41">
        <v>0</v>
      </c>
      <c r="L41" s="9">
        <v>0</v>
      </c>
      <c r="M41">
        <v>0</v>
      </c>
      <c r="N41">
        <v>3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1">
        <v>1</v>
      </c>
      <c r="Y41">
        <v>0</v>
      </c>
      <c r="Z41">
        <v>1</v>
      </c>
      <c r="AA41">
        <v>1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125</v>
      </c>
      <c r="AP41" t="s">
        <v>132</v>
      </c>
      <c r="AQ41">
        <v>1</v>
      </c>
      <c r="AR41" t="s">
        <v>0</v>
      </c>
    </row>
    <row r="42" spans="1:52" x14ac:dyDescent="0.35">
      <c r="A42">
        <v>6</v>
      </c>
      <c r="B42">
        <v>6.5918285713999998</v>
      </c>
      <c r="C42">
        <v>5.0000000000238699E-4</v>
      </c>
      <c r="D42">
        <v>3.2964142857000001</v>
      </c>
      <c r="E42">
        <v>0</v>
      </c>
      <c r="F42">
        <v>0</v>
      </c>
      <c r="G42">
        <v>8</v>
      </c>
      <c r="H42">
        <v>9</v>
      </c>
      <c r="I42">
        <v>7</v>
      </c>
      <c r="J42">
        <v>0</v>
      </c>
      <c r="K42">
        <v>0</v>
      </c>
      <c r="L42" s="9">
        <v>0</v>
      </c>
      <c r="M42">
        <v>0</v>
      </c>
      <c r="N42">
        <v>3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1">
        <v>1</v>
      </c>
      <c r="Y42">
        <v>0</v>
      </c>
      <c r="Z42">
        <v>1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125</v>
      </c>
      <c r="AP42" t="s">
        <v>133</v>
      </c>
      <c r="AQ42">
        <v>1</v>
      </c>
      <c r="AR42" t="s">
        <v>1</v>
      </c>
    </row>
    <row r="43" spans="1:52" x14ac:dyDescent="0.35">
      <c r="A43">
        <v>7</v>
      </c>
      <c r="B43">
        <v>8.5853999999999999</v>
      </c>
      <c r="C43">
        <v>5.0000000000238699E-4</v>
      </c>
      <c r="D43">
        <v>4.2931999999999997</v>
      </c>
      <c r="E43">
        <v>0</v>
      </c>
      <c r="F43">
        <v>0</v>
      </c>
      <c r="G43">
        <v>8</v>
      </c>
      <c r="H43">
        <v>9</v>
      </c>
      <c r="I43">
        <v>7</v>
      </c>
      <c r="J43">
        <v>0</v>
      </c>
      <c r="K43">
        <v>0</v>
      </c>
      <c r="L43" s="9">
        <v>0</v>
      </c>
      <c r="M43">
        <v>0</v>
      </c>
      <c r="N43">
        <v>3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1">
        <v>1</v>
      </c>
      <c r="Y43">
        <v>0</v>
      </c>
      <c r="Z43">
        <v>1</v>
      </c>
      <c r="AA43">
        <v>1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s">
        <v>125</v>
      </c>
      <c r="AP43" t="s">
        <v>134</v>
      </c>
      <c r="AQ43">
        <v>1</v>
      </c>
      <c r="AR43" t="s">
        <v>2</v>
      </c>
    </row>
    <row r="44" spans="1:52" x14ac:dyDescent="0.35">
      <c r="A44">
        <v>8</v>
      </c>
      <c r="B44">
        <v>15.910500000000001</v>
      </c>
      <c r="C44">
        <v>9.0000000000145497E-4</v>
      </c>
      <c r="D44">
        <v>7.9561500000000001</v>
      </c>
      <c r="E44">
        <v>0</v>
      </c>
      <c r="F44">
        <v>0</v>
      </c>
      <c r="G44">
        <v>9</v>
      </c>
      <c r="H44">
        <v>8</v>
      </c>
      <c r="I44">
        <v>4</v>
      </c>
      <c r="J44">
        <v>0</v>
      </c>
      <c r="K44">
        <v>0</v>
      </c>
      <c r="L44" s="9">
        <v>0</v>
      </c>
      <c r="M44">
        <v>0</v>
      </c>
      <c r="N44">
        <v>3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1">
        <v>1</v>
      </c>
      <c r="Y44">
        <v>0</v>
      </c>
      <c r="Z44">
        <v>1</v>
      </c>
      <c r="AA44">
        <v>1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125</v>
      </c>
      <c r="AP44" t="s">
        <v>135</v>
      </c>
      <c r="AQ44">
        <v>1</v>
      </c>
      <c r="AR44" t="s">
        <v>3</v>
      </c>
    </row>
    <row r="45" spans="1:52" x14ac:dyDescent="0.35">
      <c r="A45">
        <v>9</v>
      </c>
      <c r="B45">
        <v>19.762499999999999</v>
      </c>
      <c r="C45">
        <v>5.0000000000238699E-4</v>
      </c>
      <c r="D45">
        <v>9.8817500000000003</v>
      </c>
      <c r="E45">
        <v>0</v>
      </c>
      <c r="F45">
        <v>0</v>
      </c>
      <c r="G45">
        <v>8</v>
      </c>
      <c r="H45">
        <v>7</v>
      </c>
      <c r="I45">
        <v>2</v>
      </c>
      <c r="J45">
        <v>0</v>
      </c>
      <c r="K45">
        <v>0</v>
      </c>
      <c r="L45" s="9">
        <v>0</v>
      </c>
      <c r="M45">
        <v>0</v>
      </c>
      <c r="N45">
        <v>3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1">
        <v>1</v>
      </c>
      <c r="Y45">
        <v>0</v>
      </c>
      <c r="Z45">
        <v>1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">
        <v>125</v>
      </c>
      <c r="AP45" t="s">
        <v>136</v>
      </c>
      <c r="AQ45">
        <v>1</v>
      </c>
      <c r="AR45" t="s">
        <v>4</v>
      </c>
    </row>
    <row r="46" spans="1:52" x14ac:dyDescent="0.35">
      <c r="A46">
        <v>10</v>
      </c>
      <c r="B46">
        <v>10.898300000000001</v>
      </c>
      <c r="C46">
        <v>19.059699999999999</v>
      </c>
      <c r="D46">
        <v>24.508849999999999</v>
      </c>
      <c r="E46">
        <v>141.5017555554</v>
      </c>
      <c r="F46">
        <v>2</v>
      </c>
      <c r="G46">
        <v>3</v>
      </c>
      <c r="H46">
        <v>2</v>
      </c>
      <c r="I46">
        <v>1</v>
      </c>
      <c r="J46">
        <v>0.16218766666666601</v>
      </c>
      <c r="K46">
        <v>0.22936799784964601</v>
      </c>
      <c r="L46" s="9">
        <v>0.48656300000000002</v>
      </c>
      <c r="M46">
        <v>0</v>
      </c>
      <c r="N46">
        <v>3</v>
      </c>
      <c r="O46">
        <v>0</v>
      </c>
      <c r="P46">
        <v>0.33333333333333298</v>
      </c>
      <c r="Q46">
        <v>0.66666666666666596</v>
      </c>
      <c r="R46">
        <v>0.33333333333333298</v>
      </c>
      <c r="S46">
        <v>9.15922095104654E-2</v>
      </c>
      <c r="T46">
        <v>0.33333333333333298</v>
      </c>
      <c r="U46" t="s">
        <v>127</v>
      </c>
      <c r="V46">
        <v>0</v>
      </c>
      <c r="W46">
        <v>0</v>
      </c>
      <c r="X46" s="1">
        <v>1</v>
      </c>
      <c r="Y46">
        <v>0</v>
      </c>
      <c r="Z46">
        <v>1</v>
      </c>
      <c r="AA46">
        <v>1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0.66666666666666596</v>
      </c>
      <c r="AO46" t="s">
        <v>125</v>
      </c>
      <c r="AP46" t="s">
        <v>137</v>
      </c>
      <c r="AQ46">
        <v>4</v>
      </c>
      <c r="AR46" t="s">
        <v>7</v>
      </c>
      <c r="AS46" t="s">
        <v>5</v>
      </c>
      <c r="AT46" t="s">
        <v>8</v>
      </c>
      <c r="AU46" t="s">
        <v>6</v>
      </c>
    </row>
    <row r="47" spans="1:52" s="9" customFormat="1" x14ac:dyDescent="0.35">
      <c r="A47" s="9">
        <v>11</v>
      </c>
      <c r="B47" s="9">
        <v>8.7863555556000001</v>
      </c>
      <c r="C47" s="9">
        <v>10.273344444399999</v>
      </c>
      <c r="D47" s="9">
        <v>14.666522222199999</v>
      </c>
      <c r="E47" s="9">
        <v>58.666088888799997</v>
      </c>
      <c r="F47" s="9">
        <v>2</v>
      </c>
      <c r="G47" s="9">
        <v>6</v>
      </c>
      <c r="H47" s="9">
        <v>5</v>
      </c>
      <c r="I47" s="9">
        <v>3</v>
      </c>
      <c r="J47">
        <v>-1.0218659999999999</v>
      </c>
      <c r="K47" s="9">
        <v>0.86611097065599296</v>
      </c>
      <c r="L47" s="9">
        <v>-1.532799</v>
      </c>
      <c r="M47" s="9">
        <v>0.58486300000000002</v>
      </c>
      <c r="N47" s="9">
        <v>3</v>
      </c>
      <c r="O47" s="9">
        <v>0</v>
      </c>
      <c r="P47" s="9">
        <v>0.66666666666666596</v>
      </c>
      <c r="Q47" s="9">
        <v>0.33333333333333298</v>
      </c>
      <c r="R47" s="9">
        <v>0</v>
      </c>
      <c r="S47" s="9">
        <v>4.6927854297744702E-2</v>
      </c>
      <c r="T47" s="9">
        <v>0.66666666666666596</v>
      </c>
      <c r="U47" s="9" t="s">
        <v>127</v>
      </c>
      <c r="V47" s="9">
        <v>0</v>
      </c>
      <c r="W47" s="9">
        <v>0</v>
      </c>
      <c r="X47" s="1">
        <v>1</v>
      </c>
      <c r="Y47" s="9">
        <v>0</v>
      </c>
      <c r="Z47" s="9">
        <v>1</v>
      </c>
      <c r="AA47" s="9">
        <v>1</v>
      </c>
      <c r="AB47" s="9">
        <v>0</v>
      </c>
      <c r="AC47" s="9">
        <v>0</v>
      </c>
      <c r="AD47" s="9">
        <v>1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2</v>
      </c>
      <c r="AM47" s="9">
        <v>0</v>
      </c>
      <c r="AN47" s="9">
        <v>0</v>
      </c>
      <c r="AO47" s="9" t="s">
        <v>125</v>
      </c>
      <c r="AP47" s="9" t="s">
        <v>138</v>
      </c>
      <c r="AQ47" s="9">
        <v>2</v>
      </c>
      <c r="AR47" s="9" t="s">
        <v>5</v>
      </c>
      <c r="AS47" s="9" t="s">
        <v>6</v>
      </c>
    </row>
    <row r="48" spans="1:52" x14ac:dyDescent="0.35">
      <c r="A48">
        <v>12</v>
      </c>
      <c r="B48">
        <v>10.273344444399999</v>
      </c>
      <c r="C48">
        <v>0</v>
      </c>
      <c r="D48">
        <v>5.1366722221999996</v>
      </c>
      <c r="E48">
        <v>0</v>
      </c>
      <c r="F48">
        <v>0</v>
      </c>
      <c r="G48">
        <v>2</v>
      </c>
      <c r="H48">
        <v>9</v>
      </c>
      <c r="I48">
        <v>6</v>
      </c>
      <c r="J48">
        <v>0</v>
      </c>
      <c r="K48">
        <v>0</v>
      </c>
      <c r="L48" s="9">
        <v>0</v>
      </c>
      <c r="M48">
        <v>0</v>
      </c>
      <c r="N48">
        <v>3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1">
        <v>1</v>
      </c>
      <c r="Y48">
        <v>0</v>
      </c>
      <c r="Z48">
        <v>1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">
        <v>125</v>
      </c>
      <c r="AP48" t="s">
        <v>139</v>
      </c>
      <c r="AQ48">
        <v>1</v>
      </c>
      <c r="AR48" t="s">
        <v>5</v>
      </c>
    </row>
    <row r="49" spans="1:45" x14ac:dyDescent="0.35">
      <c r="A49">
        <v>13</v>
      </c>
      <c r="B49">
        <v>10.273344444399999</v>
      </c>
      <c r="C49">
        <v>0</v>
      </c>
      <c r="D49">
        <v>5.1366722221999996</v>
      </c>
      <c r="E49">
        <v>0</v>
      </c>
      <c r="F49">
        <v>0</v>
      </c>
      <c r="G49">
        <v>2</v>
      </c>
      <c r="H49">
        <v>9</v>
      </c>
      <c r="I49">
        <v>6</v>
      </c>
      <c r="J49">
        <v>0</v>
      </c>
      <c r="K49">
        <v>0</v>
      </c>
      <c r="L49" s="9">
        <v>0</v>
      </c>
      <c r="M49">
        <v>0</v>
      </c>
      <c r="N49">
        <v>3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1">
        <v>1</v>
      </c>
      <c r="Y49">
        <v>0</v>
      </c>
      <c r="Z49">
        <v>1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">
        <v>125</v>
      </c>
      <c r="AP49" t="s">
        <v>140</v>
      </c>
      <c r="AQ49">
        <v>1</v>
      </c>
      <c r="AR49" t="s">
        <v>6</v>
      </c>
    </row>
    <row r="50" spans="1:45" x14ac:dyDescent="0.35">
      <c r="A50">
        <v>14</v>
      </c>
      <c r="B50">
        <v>7.5994666666999997</v>
      </c>
      <c r="C50">
        <v>11.4602333333</v>
      </c>
      <c r="D50">
        <v>15.25996666665</v>
      </c>
      <c r="E50">
        <v>61.0390666666</v>
      </c>
      <c r="F50">
        <v>2</v>
      </c>
      <c r="G50">
        <v>5</v>
      </c>
      <c r="H50">
        <v>5</v>
      </c>
      <c r="I50">
        <v>3</v>
      </c>
      <c r="J50">
        <v>0</v>
      </c>
      <c r="K50">
        <v>0</v>
      </c>
      <c r="L50" s="9">
        <v>0</v>
      </c>
      <c r="M50">
        <v>0</v>
      </c>
      <c r="N50">
        <v>3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1">
        <v>1</v>
      </c>
      <c r="Y50">
        <v>0</v>
      </c>
      <c r="Z50">
        <v>1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0.66666666666666596</v>
      </c>
      <c r="AO50" t="s">
        <v>125</v>
      </c>
      <c r="AP50" t="s">
        <v>141</v>
      </c>
      <c r="AQ50">
        <v>2</v>
      </c>
      <c r="AR50" t="s">
        <v>7</v>
      </c>
      <c r="AS50" t="s">
        <v>8</v>
      </c>
    </row>
    <row r="51" spans="1:45" x14ac:dyDescent="0.35">
      <c r="A51">
        <v>15</v>
      </c>
      <c r="B51">
        <v>11.4600333333</v>
      </c>
      <c r="C51">
        <v>1.9999999999953299E-4</v>
      </c>
      <c r="D51">
        <v>5.7302166666499996</v>
      </c>
      <c r="E51">
        <v>0</v>
      </c>
      <c r="F51">
        <v>0</v>
      </c>
      <c r="G51">
        <v>4</v>
      </c>
      <c r="H51">
        <v>9</v>
      </c>
      <c r="I51">
        <v>5</v>
      </c>
      <c r="J51">
        <v>-0.149092</v>
      </c>
      <c r="K51">
        <v>0.21084792844132899</v>
      </c>
      <c r="L51" s="9">
        <v>-0.44727600000000001</v>
      </c>
      <c r="M51">
        <v>0</v>
      </c>
      <c r="N51">
        <v>3</v>
      </c>
      <c r="O51">
        <v>0</v>
      </c>
      <c r="P51">
        <v>0.33333333333333298</v>
      </c>
      <c r="Q51">
        <v>0.66666666666666596</v>
      </c>
      <c r="R51">
        <v>0</v>
      </c>
      <c r="S51">
        <v>8.8445102819315002E-2</v>
      </c>
      <c r="T51">
        <v>0.33333333333333298</v>
      </c>
      <c r="U51" t="s">
        <v>127</v>
      </c>
      <c r="V51">
        <v>0</v>
      </c>
      <c r="W51">
        <v>0</v>
      </c>
      <c r="X51" s="1">
        <v>1</v>
      </c>
      <c r="Y51">
        <v>0</v>
      </c>
      <c r="Z51">
        <v>1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 t="s">
        <v>125</v>
      </c>
      <c r="AP51" t="s">
        <v>142</v>
      </c>
      <c r="AQ51">
        <v>1</v>
      </c>
      <c r="AR51" t="s">
        <v>7</v>
      </c>
    </row>
    <row r="52" spans="1:45" x14ac:dyDescent="0.35">
      <c r="A52">
        <v>16</v>
      </c>
      <c r="B52">
        <v>11.4600333333</v>
      </c>
      <c r="C52">
        <v>1.9999999999953299E-4</v>
      </c>
      <c r="D52">
        <v>5.7302166666499996</v>
      </c>
      <c r="E52">
        <v>0</v>
      </c>
      <c r="F52">
        <v>0</v>
      </c>
      <c r="G52">
        <v>4</v>
      </c>
      <c r="H52">
        <v>9</v>
      </c>
      <c r="I52">
        <v>5</v>
      </c>
      <c r="J52">
        <v>-0.65923600000000004</v>
      </c>
      <c r="K52">
        <v>0.93230049200458898</v>
      </c>
      <c r="L52" s="9">
        <v>-1.977708</v>
      </c>
      <c r="M52">
        <v>0</v>
      </c>
      <c r="N52">
        <v>3</v>
      </c>
      <c r="O52">
        <v>0</v>
      </c>
      <c r="P52">
        <v>0.33333333333333298</v>
      </c>
      <c r="Q52">
        <v>0.66666666666666596</v>
      </c>
      <c r="R52">
        <v>0</v>
      </c>
      <c r="S52">
        <v>1.99830387208354E-2</v>
      </c>
      <c r="T52">
        <v>0.33333333333333298</v>
      </c>
      <c r="U52" t="s">
        <v>127</v>
      </c>
      <c r="V52">
        <v>0</v>
      </c>
      <c r="W52">
        <v>0</v>
      </c>
      <c r="X52" s="1">
        <v>1</v>
      </c>
      <c r="Y52">
        <v>0</v>
      </c>
      <c r="Z52">
        <v>1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 t="s">
        <v>125</v>
      </c>
      <c r="AP52" t="s">
        <v>143</v>
      </c>
      <c r="AQ52">
        <v>1</v>
      </c>
      <c r="AR52" t="s">
        <v>8</v>
      </c>
    </row>
    <row r="55" spans="1:45" x14ac:dyDescent="0.35">
      <c r="B55" t="s">
        <v>16</v>
      </c>
      <c r="C55" t="s">
        <v>22</v>
      </c>
      <c r="D55" t="s">
        <v>23</v>
      </c>
      <c r="E55" t="s">
        <v>85</v>
      </c>
      <c r="F55" t="s">
        <v>146</v>
      </c>
      <c r="G55" t="s">
        <v>145</v>
      </c>
      <c r="H55" t="s">
        <v>144</v>
      </c>
    </row>
    <row r="56" spans="1:45" x14ac:dyDescent="0.35">
      <c r="B56">
        <v>0</v>
      </c>
      <c r="C56">
        <v>9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45" x14ac:dyDescent="0.35">
      <c r="B57">
        <v>1</v>
      </c>
      <c r="C57">
        <v>5</v>
      </c>
      <c r="D57">
        <v>10.195</v>
      </c>
      <c r="E57">
        <v>-0.82845000000000002</v>
      </c>
      <c r="F57">
        <v>-0.82845000000000002</v>
      </c>
      <c r="G57">
        <v>0.33333333333333298</v>
      </c>
      <c r="H57">
        <v>0</v>
      </c>
    </row>
    <row r="58" spans="1:45" x14ac:dyDescent="0.35">
      <c r="B58">
        <v>2</v>
      </c>
      <c r="C58">
        <v>4</v>
      </c>
      <c r="D58">
        <v>3.8515999999999999</v>
      </c>
      <c r="E58">
        <v>0</v>
      </c>
      <c r="F58">
        <v>0</v>
      </c>
      <c r="G58">
        <v>0</v>
      </c>
      <c r="H58">
        <v>0</v>
      </c>
    </row>
    <row r="59" spans="1:45" x14ac:dyDescent="0.35">
      <c r="B59">
        <v>3</v>
      </c>
      <c r="C59">
        <v>3</v>
      </c>
      <c r="D59">
        <v>7.3254999999999999</v>
      </c>
      <c r="E59">
        <v>0</v>
      </c>
      <c r="F59">
        <v>0</v>
      </c>
      <c r="G59">
        <v>0</v>
      </c>
      <c r="H59">
        <v>0.33333333333333298</v>
      </c>
    </row>
    <row r="60" spans="1:45" x14ac:dyDescent="0.35">
      <c r="B60">
        <v>4</v>
      </c>
      <c r="C60">
        <v>2</v>
      </c>
      <c r="D60">
        <v>1.993571</v>
      </c>
      <c r="E60">
        <v>0</v>
      </c>
      <c r="F60">
        <v>0</v>
      </c>
      <c r="G60">
        <v>0</v>
      </c>
      <c r="H60">
        <v>0</v>
      </c>
    </row>
    <row r="61" spans="1:45" x14ac:dyDescent="0.35">
      <c r="B61">
        <v>5</v>
      </c>
      <c r="C61">
        <v>1</v>
      </c>
      <c r="D61">
        <v>6.5918289999999997</v>
      </c>
      <c r="E61">
        <v>0</v>
      </c>
      <c r="F61">
        <v>0</v>
      </c>
      <c r="G61">
        <v>0</v>
      </c>
      <c r="H61">
        <v>0</v>
      </c>
    </row>
    <row r="62" spans="1:45" x14ac:dyDescent="0.35">
      <c r="B62">
        <v>6</v>
      </c>
      <c r="C62">
        <v>1</v>
      </c>
      <c r="D62">
        <v>6.5918289999999997</v>
      </c>
      <c r="E62">
        <v>0</v>
      </c>
      <c r="F62">
        <v>0</v>
      </c>
      <c r="G62">
        <v>0</v>
      </c>
      <c r="H62">
        <v>0</v>
      </c>
    </row>
    <row r="63" spans="1:45" x14ac:dyDescent="0.35">
      <c r="B63">
        <v>7</v>
      </c>
      <c r="C63">
        <v>1</v>
      </c>
      <c r="D63">
        <v>8.5853999999999999</v>
      </c>
      <c r="E63">
        <v>0</v>
      </c>
      <c r="F63">
        <v>0</v>
      </c>
      <c r="G63">
        <v>0</v>
      </c>
      <c r="H63">
        <v>0</v>
      </c>
    </row>
    <row r="64" spans="1:45" x14ac:dyDescent="0.35">
      <c r="B64">
        <v>8</v>
      </c>
      <c r="C64">
        <v>1</v>
      </c>
      <c r="D64">
        <v>15.910500000000001</v>
      </c>
      <c r="E64">
        <v>0</v>
      </c>
      <c r="F64">
        <v>0</v>
      </c>
      <c r="G64">
        <v>0</v>
      </c>
      <c r="H64">
        <v>0</v>
      </c>
    </row>
    <row r="65" spans="2:8" x14ac:dyDescent="0.35">
      <c r="B65">
        <v>9</v>
      </c>
      <c r="C65">
        <v>1</v>
      </c>
      <c r="D65">
        <v>19.762499999999999</v>
      </c>
      <c r="E65">
        <v>0</v>
      </c>
      <c r="F65">
        <v>0</v>
      </c>
      <c r="G65">
        <v>0</v>
      </c>
      <c r="H65">
        <v>0</v>
      </c>
    </row>
    <row r="66" spans="2:8" x14ac:dyDescent="0.35">
      <c r="B66">
        <v>10</v>
      </c>
      <c r="C66">
        <v>4</v>
      </c>
      <c r="D66">
        <v>10.898300000000001</v>
      </c>
      <c r="E66">
        <v>0.48656300000000002</v>
      </c>
      <c r="F66">
        <v>0.48656300000000002</v>
      </c>
      <c r="G66">
        <v>0.33333333333333298</v>
      </c>
      <c r="H66">
        <v>0</v>
      </c>
    </row>
    <row r="67" spans="2:8" x14ac:dyDescent="0.35">
      <c r="B67">
        <v>11</v>
      </c>
      <c r="C67">
        <v>2</v>
      </c>
      <c r="D67">
        <v>8.7863559999999996</v>
      </c>
      <c r="E67">
        <v>-1.532799</v>
      </c>
      <c r="F67">
        <v>-1.532799</v>
      </c>
      <c r="G67">
        <v>0.66666666666666596</v>
      </c>
      <c r="H67">
        <v>0</v>
      </c>
    </row>
    <row r="68" spans="2:8" x14ac:dyDescent="0.35">
      <c r="B68">
        <v>12</v>
      </c>
      <c r="C68">
        <v>1</v>
      </c>
      <c r="D68">
        <v>10.273344</v>
      </c>
      <c r="E68">
        <v>0</v>
      </c>
      <c r="F68">
        <v>0</v>
      </c>
      <c r="G68">
        <v>0</v>
      </c>
      <c r="H68">
        <v>0</v>
      </c>
    </row>
    <row r="69" spans="2:8" x14ac:dyDescent="0.35">
      <c r="B69">
        <v>13</v>
      </c>
      <c r="C69">
        <v>1</v>
      </c>
      <c r="D69">
        <v>10.273344</v>
      </c>
      <c r="E69">
        <v>0</v>
      </c>
      <c r="F69">
        <v>0</v>
      </c>
      <c r="G69">
        <v>0</v>
      </c>
      <c r="H69">
        <v>0</v>
      </c>
    </row>
    <row r="70" spans="2:8" x14ac:dyDescent="0.35">
      <c r="B70">
        <v>14</v>
      </c>
      <c r="C70">
        <v>2</v>
      </c>
      <c r="D70">
        <v>7.5994669999999998</v>
      </c>
      <c r="E70">
        <v>0</v>
      </c>
      <c r="F70">
        <v>0</v>
      </c>
      <c r="G70">
        <v>0</v>
      </c>
      <c r="H70">
        <v>0</v>
      </c>
    </row>
    <row r="71" spans="2:8" x14ac:dyDescent="0.35">
      <c r="B71">
        <v>15</v>
      </c>
      <c r="C71">
        <v>1</v>
      </c>
      <c r="D71">
        <v>11.460032999999999</v>
      </c>
      <c r="E71">
        <v>-0.44727600000000001</v>
      </c>
      <c r="F71">
        <v>-0.44727600000000001</v>
      </c>
      <c r="G71">
        <v>0.33333333333333298</v>
      </c>
      <c r="H71">
        <v>0</v>
      </c>
    </row>
    <row r="72" spans="2:8" x14ac:dyDescent="0.35">
      <c r="B72">
        <v>16</v>
      </c>
      <c r="C72">
        <v>1</v>
      </c>
      <c r="D72">
        <v>11.460032999999999</v>
      </c>
      <c r="E72">
        <v>-1.977708</v>
      </c>
      <c r="F72">
        <v>-1.977708</v>
      </c>
      <c r="G72">
        <v>0.33333333333333298</v>
      </c>
      <c r="H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VR</vt:lpstr>
      <vt:lpstr>Fabric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Organ</dc:creator>
  <cp:lastModifiedBy>Chris Organ</cp:lastModifiedBy>
  <dcterms:created xsi:type="dcterms:W3CDTF">2026-10-10T17:37:15Z</dcterms:created>
  <dcterms:modified xsi:type="dcterms:W3CDTF">2026-10-11T02:38:08Z</dcterms:modified>
</cp:coreProperties>
</file>